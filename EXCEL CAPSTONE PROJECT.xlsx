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4.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5.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6.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7.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drawings/drawing1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opsy\OneDrive\Desktop\MY EXCEL CLASSES\"/>
    </mc:Choice>
  </mc:AlternateContent>
  <xr:revisionPtr revIDLastSave="0" documentId="13_ncr:1_{02312C6F-2B3E-4318-A4B1-E5334500C670}" xr6:coauthVersionLast="47" xr6:coauthVersionMax="47" xr10:uidLastSave="{00000000-0000-0000-0000-000000000000}"/>
  <bookViews>
    <workbookView xWindow="-120" yWindow="-120" windowWidth="20730" windowHeight="11040" activeTab="18" xr2:uid="{00000000-000D-0000-FFFF-FFFF00000000}"/>
  </bookViews>
  <sheets>
    <sheet name="CLEANED CAPSTONE DATA" sheetId="1" r:id="rId1"/>
    <sheet name="INSIGHT 1" sheetId="9" r:id="rId2"/>
    <sheet name="INSIGHT 7" sheetId="15" r:id="rId3"/>
    <sheet name="EXCEL DASHBOARD" sheetId="30" r:id="rId4"/>
    <sheet name="INSIGHT 6" sheetId="14" r:id="rId5"/>
    <sheet name="INSIGHT 5" sheetId="13" r:id="rId6"/>
    <sheet name="INSIGHT 4" sheetId="12" r:id="rId7"/>
    <sheet name="INSIGHT 3" sheetId="11" r:id="rId8"/>
    <sheet name="INSIGHT 2" sheetId="10" r:id="rId9"/>
    <sheet name=" ANALYSIS TASKS PT3" sheetId="3" r:id="rId10"/>
    <sheet name="Sheet3" sheetId="20" r:id="rId11"/>
    <sheet name="PIVOT TABLE" sheetId="21" r:id="rId12"/>
    <sheet name="CHART 6" sheetId="28" r:id="rId13"/>
    <sheet name="CHART 5" sheetId="27" r:id="rId14"/>
    <sheet name="CHART 4" sheetId="26" r:id="rId15"/>
    <sheet name="CHART 3" sheetId="25" r:id="rId16"/>
    <sheet name="CHART 2" sheetId="24" r:id="rId17"/>
    <sheet name="CHART 1" sheetId="23" r:id="rId18"/>
    <sheet name="TABLE" sheetId="2" r:id="rId19"/>
  </sheets>
  <definedNames>
    <definedName name="_xlnm._FilterDatabase" localSheetId="0" hidden="1">'CLEANED CAPSTONE DATA'!$A$1:$J$46</definedName>
    <definedName name="_xlcn.WorksheetConnection_HOMELEARNINGCAPSTONEmessy_restaurant_data.xlsxTable1" hidden="1">Table1[]</definedName>
    <definedName name="Slicer_Dish_Ordered">#N/A</definedName>
    <definedName name="Slicer_Restaurant">#N/A</definedName>
    <definedName name="Slicer_REVENUE">#N/A</definedName>
  </definedNames>
  <calcPr calcId="191029"/>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s>
  <extLst>
    <ext xmlns:x14="http://schemas.microsoft.com/office/spreadsheetml/2009/9/main" uri="{876F7934-8845-4945-9796-88D515C7AA90}">
      <x14:pivotCaches>
        <pivotCache cacheId="14"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OME  LEARNING CAPSTONE messy_restaurant_data.xlsx!Table1"/>
        </x15:modelTables>
        <x15:extLst>
          <ext xmlns:x16="http://schemas.microsoft.com/office/spreadsheetml/2014/11/main" uri="{9835A34E-60A6-4A7C-AAB8-D5F71C897F49}">
            <x16:modelTimeGroupings>
              <x16:modelTimeGrouping tableName="Table1" columnName="Date of Visit" columnId="Date of Visit">
                <x16:calculatedTimeColumn columnName="Date of Visit (Month Index)" columnId="Date of Visit (Month Index)" contentType="monthsindex" isSelected="1"/>
                <x16:calculatedTimeColumn columnName="Date of Visit (Month)" columnId="Date of Visi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M17" i="30"/>
  <c r="C17" i="30"/>
  <c r="H17" i="30"/>
  <c r="M4" i="30"/>
  <c r="H4" i="30"/>
  <c r="C4"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431F9D-AACF-43FD-9B88-C23247B5A40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749895-F525-4C65-8387-0EB71118A726}" name="WorksheetConnection_HOME  LEARNING CAPSTONE messy_restaurant_data.xlsx!Table1" type="102" refreshedVersion="7" minRefreshableVersion="5">
    <extLst>
      <ext xmlns:x15="http://schemas.microsoft.com/office/spreadsheetml/2010/11/main" uri="{DE250136-89BD-433C-8126-D09CA5730AF9}">
        <x15:connection id="Table1" autoDelete="1">
          <x15:rangePr sourceName="_xlcn.WorksheetConnection_HOMELEARNINGCAPSTONEmessy_restaurant_data.xlsxTable1"/>
        </x15:connection>
      </ext>
    </extLst>
  </connection>
</connections>
</file>

<file path=xl/sharedStrings.xml><?xml version="1.0" encoding="utf-8"?>
<sst xmlns="http://schemas.openxmlformats.org/spreadsheetml/2006/main" count="729" uniqueCount="84">
  <si>
    <t xml:space="preserve">Customer </t>
  </si>
  <si>
    <t>Restaurant</t>
  </si>
  <si>
    <t>Dish Ordered</t>
  </si>
  <si>
    <t>Rating</t>
  </si>
  <si>
    <t>Date of Visit</t>
  </si>
  <si>
    <t>Feedback</t>
  </si>
  <si>
    <t>Price of Dish Ordered</t>
  </si>
  <si>
    <t>Quantity</t>
  </si>
  <si>
    <t>Chris Smith</t>
  </si>
  <si>
    <t>McDonalds</t>
  </si>
  <si>
    <t>Sushi</t>
  </si>
  <si>
    <t>Sarah Rodriguez</t>
  </si>
  <si>
    <t>Burger King</t>
  </si>
  <si>
    <t>Pasta</t>
  </si>
  <si>
    <t>Good service</t>
  </si>
  <si>
    <t>Jane Brown</t>
  </si>
  <si>
    <t>Fries</t>
  </si>
  <si>
    <t>Michael Johnson</t>
  </si>
  <si>
    <t>Emily Garcia</t>
  </si>
  <si>
    <t>Nuggets</t>
  </si>
  <si>
    <t>Sarah Williams</t>
  </si>
  <si>
    <t>Taco</t>
  </si>
  <si>
    <t>James Rodriguez</t>
  </si>
  <si>
    <t>Dominos</t>
  </si>
  <si>
    <t>Jane Martinez</t>
  </si>
  <si>
    <t>Subway</t>
  </si>
  <si>
    <t>KFC</t>
  </si>
  <si>
    <t>Salad</t>
  </si>
  <si>
    <t>Emily Miller</t>
  </si>
  <si>
    <t>James Brown</t>
  </si>
  <si>
    <t>James Jones</t>
  </si>
  <si>
    <t>James Martinez</t>
  </si>
  <si>
    <t>Alex Smith</t>
  </si>
  <si>
    <t>James Garcia</t>
  </si>
  <si>
    <t>Sandwich</t>
  </si>
  <si>
    <t>Sarah Jones</t>
  </si>
  <si>
    <t>Alex Davis</t>
  </si>
  <si>
    <t>Katie Martinez</t>
  </si>
  <si>
    <t>Katie Jones</t>
  </si>
  <si>
    <t>Burger</t>
  </si>
  <si>
    <t>Michael Williams</t>
  </si>
  <si>
    <t>Jane Miller</t>
  </si>
  <si>
    <t>Pizza</t>
  </si>
  <si>
    <t>Laura Jones</t>
  </si>
  <si>
    <t>Wrap</t>
  </si>
  <si>
    <t>Emily Johnson</t>
  </si>
  <si>
    <t>Laura Williams</t>
  </si>
  <si>
    <t>Chris Williams</t>
  </si>
  <si>
    <t>Katie Johnson</t>
  </si>
  <si>
    <t>Jane Garcia</t>
  </si>
  <si>
    <t>Sarah Miller</t>
  </si>
  <si>
    <t>Not Specified</t>
  </si>
  <si>
    <t>Grand Total</t>
  </si>
  <si>
    <t>Sum of Quantity</t>
  </si>
  <si>
    <t>Count of Quantity</t>
  </si>
  <si>
    <t>Row Labels</t>
  </si>
  <si>
    <t>Sum of Price of Dish Ordered</t>
  </si>
  <si>
    <t>Average of Price of Dish Ordered</t>
  </si>
  <si>
    <t>Max of Price of Dish Ordered</t>
  </si>
  <si>
    <t>Min of Price of Dish Ordered</t>
  </si>
  <si>
    <t>INSIGHT 1.</t>
  </si>
  <si>
    <t>INSIGHT 2.</t>
  </si>
  <si>
    <t>INSIGHT 3.</t>
  </si>
  <si>
    <t>INSIGHT 4.</t>
  </si>
  <si>
    <t>INSIGHT 5.</t>
  </si>
  <si>
    <t>INSIGHT 6.</t>
  </si>
  <si>
    <t>INSIGHT 7.</t>
  </si>
  <si>
    <t>1. TOTAL TRANSACTION</t>
  </si>
  <si>
    <t>2. TOTAL REVENUE</t>
  </si>
  <si>
    <t>3. AVERAGE SALES AMOUNT</t>
  </si>
  <si>
    <t>4. HIGHEST SINGLE TRANSACTION</t>
  </si>
  <si>
    <t>5. LOWEST SINGLE TRANSACTION</t>
  </si>
  <si>
    <t>6. TOTAL QUANTITY SOLD</t>
  </si>
  <si>
    <t>9.MOST EXPENSIVE ITEM SOLD</t>
  </si>
  <si>
    <t>10. CHEAPEST ITEM SOLD</t>
  </si>
  <si>
    <t>REVENUE</t>
  </si>
  <si>
    <t>Sum of REVENUE</t>
  </si>
  <si>
    <t>TREND ANALYSIS</t>
  </si>
  <si>
    <t>REVENUE ANALYSIS</t>
  </si>
  <si>
    <t>PRODUCT ANALYSIS</t>
  </si>
  <si>
    <t>CUSTOMER ANALYSIS</t>
  </si>
  <si>
    <t>Jan</t>
  </si>
  <si>
    <t>Feb</t>
  </si>
  <si>
    <t>TIME- BASE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</si>
</sst>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Arial Black"/>
      <family val="2"/>
    </font>
    <font>
      <b/>
      <sz val="12"/>
      <color theme="4"/>
      <name val="Arial Black"/>
      <family val="2"/>
    </font>
    <font>
      <b/>
      <sz val="14"/>
      <color rgb="FFFF0000"/>
      <name val="Arial Black"/>
      <family val="2"/>
    </font>
    <font>
      <sz val="14"/>
      <color rgb="FFFF0000"/>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18" fillId="0" borderId="0" xfId="0" applyFont="1" applyAlignment="1">
      <alignment horizontal="center"/>
    </xf>
    <xf numFmtId="0" fontId="18" fillId="0" borderId="0" xfId="0" applyFont="1" applyAlignment="1">
      <alignment horizontal="center" wrapText="1"/>
    </xf>
    <xf numFmtId="0" fontId="19" fillId="0" borderId="0" xfId="0" applyFont="1" applyAlignment="1"/>
    <xf numFmtId="0" fontId="0" fillId="0" borderId="0" xfId="0" applyAlignmen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0" fillId="0" borderId="0" xfId="0" applyFont="1" applyAlignment="1">
      <alignment horizontal="center"/>
    </xf>
    <xf numFmtId="0" fontId="20" fillId="0" borderId="0" xfId="0" applyFont="1"/>
    <xf numFmtId="0" fontId="21" fillId="0" borderId="0" xfId="0" applyFont="1" applyAlignment="1">
      <alignment horizontal="center"/>
    </xf>
    <xf numFmtId="0" fontId="20" fillId="0" borderId="0" xfId="0" applyFont="1"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dd/mm/yyyy"/>
    </dxf>
    <dxf>
      <font>
        <b/>
        <i val="0"/>
        <strike val="0"/>
        <condense val="0"/>
        <extend val="0"/>
        <outline val="0"/>
        <shadow val="0"/>
        <u val="none"/>
        <vertAlign val="baseline"/>
        <sz val="12"/>
        <color rgb="FFFF0000"/>
        <name val="Arial Black"/>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connections" Target="connections.xml"/><Relationship Id="rId21" Type="http://schemas.openxmlformats.org/officeDocument/2006/relationships/pivotCacheDefinition" Target="pivotCache/pivotCacheDefinition2.xml"/><Relationship Id="rId34" Type="http://schemas.openxmlformats.org/officeDocument/2006/relationships/pivotCacheDefinition" Target="pivotCache/pivotCacheDefinition15.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ivotCacheDefinition" Target="pivotCache/pivotCacheDefinition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QTY/D.ORDER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1'!$B$3</c:f>
              <c:strCache>
                <c:ptCount val="1"/>
                <c:pt idx="0">
                  <c:v>Total</c:v>
                </c:pt>
              </c:strCache>
            </c:strRef>
          </c:tx>
          <c:spPr>
            <a:solidFill>
              <a:schemeClr val="accent1"/>
            </a:solidFill>
            <a:ln>
              <a:noFill/>
            </a:ln>
            <a:effectLst/>
          </c:spPr>
          <c:invertIfNegative val="0"/>
          <c:cat>
            <c:strRef>
              <c:f>'INSIGHT 1'!$A$4:$A$5</c:f>
              <c:strCache>
                <c:ptCount val="1"/>
                <c:pt idx="0">
                  <c:v>Fries</c:v>
                </c:pt>
              </c:strCache>
            </c:strRef>
          </c:cat>
          <c:val>
            <c:numRef>
              <c:f>'INSIGHT 1'!$B$4:$B$5</c:f>
              <c:numCache>
                <c:formatCode>General</c:formatCode>
                <c:ptCount val="1"/>
                <c:pt idx="0">
                  <c:v>16</c:v>
                </c:pt>
              </c:numCache>
            </c:numRef>
          </c:val>
          <c:extLst>
            <c:ext xmlns:c16="http://schemas.microsoft.com/office/drawing/2014/chart" uri="{C3380CC4-5D6E-409C-BE32-E72D297353CC}">
              <c16:uniqueId val="{00000000-A5BE-4FD7-BA98-9A89A9F24190}"/>
            </c:ext>
          </c:extLst>
        </c:ser>
        <c:dLbls>
          <c:showLegendKey val="0"/>
          <c:showVal val="0"/>
          <c:showCatName val="0"/>
          <c:showSerName val="0"/>
          <c:showPercent val="0"/>
          <c:showBubbleSize val="0"/>
        </c:dLbls>
        <c:gapWidth val="219"/>
        <c:overlap val="-27"/>
        <c:axId val="1062013583"/>
        <c:axId val="1062016911"/>
      </c:barChart>
      <c:catAx>
        <c:axId val="106201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2016911"/>
        <c:crosses val="autoZero"/>
        <c:auto val="1"/>
        <c:lblAlgn val="ctr"/>
        <c:lblOffset val="100"/>
        <c:noMultiLvlLbl val="0"/>
      </c:catAx>
      <c:valAx>
        <c:axId val="106201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6201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RESTAURANT/PRICE</a:t>
            </a:r>
            <a:r>
              <a:rPr lang="en-US" baseline="0"/>
              <a:t> OF D.ORDER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'INSIGHT 7'!$B$2</c:f>
              <c:strCache>
                <c:ptCount val="1"/>
                <c:pt idx="0">
                  <c:v>Sum of Price of Dish Ordered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E1-4BFD-A1AC-7A77C903DE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E1-4BFD-A1AC-7A77C903DE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E1-4BFD-A1AC-7A77C903DE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E1-4BFD-A1AC-7A77C903DE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E1-4BFD-A1AC-7A77C903DE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FE1-4BFD-A1AC-7A77C903DE41}"/>
              </c:ext>
            </c:extLst>
          </c:dPt>
          <c:cat>
            <c:strRef>
              <c:f>'INSIGHT 7'!$A$3:$A$9</c:f>
              <c:strCache>
                <c:ptCount val="6"/>
                <c:pt idx="0">
                  <c:v>Burger King</c:v>
                </c:pt>
                <c:pt idx="1">
                  <c:v>Dominos</c:v>
                </c:pt>
                <c:pt idx="2">
                  <c:v>KFC</c:v>
                </c:pt>
                <c:pt idx="3">
                  <c:v>McDonalds</c:v>
                </c:pt>
                <c:pt idx="4">
                  <c:v>Not Specified</c:v>
                </c:pt>
                <c:pt idx="5">
                  <c:v>Subway</c:v>
                </c:pt>
              </c:strCache>
            </c:strRef>
          </c:cat>
          <c:val>
            <c:numRef>
              <c:f>'INSIGHT 7'!$B$3:$B$9</c:f>
              <c:numCache>
                <c:formatCode>General</c:formatCode>
                <c:ptCount val="6"/>
                <c:pt idx="0">
                  <c:v>93</c:v>
                </c:pt>
                <c:pt idx="1">
                  <c:v>107</c:v>
                </c:pt>
                <c:pt idx="2">
                  <c:v>95</c:v>
                </c:pt>
                <c:pt idx="3">
                  <c:v>170</c:v>
                </c:pt>
                <c:pt idx="4">
                  <c:v>145</c:v>
                </c:pt>
                <c:pt idx="5">
                  <c:v>112</c:v>
                </c:pt>
              </c:numCache>
            </c:numRef>
          </c:val>
          <c:extLst>
            <c:ext xmlns:c16="http://schemas.microsoft.com/office/drawing/2014/chart" uri="{C3380CC4-5D6E-409C-BE32-E72D297353CC}">
              <c16:uniqueId val="{00000000-5DA5-40AE-9BA9-734B1E9C9130}"/>
            </c:ext>
          </c:extLst>
        </c:ser>
        <c:ser>
          <c:idx val="1"/>
          <c:order val="1"/>
          <c:tx>
            <c:strRef>
              <c:f>'INSIGHT 7'!$C$2</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DFE1-4BFD-A1AC-7A77C903DE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DFE1-4BFD-A1AC-7A77C903DE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DFE1-4BFD-A1AC-7A77C903DE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DFE1-4BFD-A1AC-7A77C903DE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DFE1-4BFD-A1AC-7A77C903DE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DFE1-4BFD-A1AC-7A77C903DE41}"/>
              </c:ext>
            </c:extLst>
          </c:dPt>
          <c:cat>
            <c:strRef>
              <c:f>'INSIGHT 7'!$A$3:$A$9</c:f>
              <c:strCache>
                <c:ptCount val="6"/>
                <c:pt idx="0">
                  <c:v>Burger King</c:v>
                </c:pt>
                <c:pt idx="1">
                  <c:v>Dominos</c:v>
                </c:pt>
                <c:pt idx="2">
                  <c:v>KFC</c:v>
                </c:pt>
                <c:pt idx="3">
                  <c:v>McDonalds</c:v>
                </c:pt>
                <c:pt idx="4">
                  <c:v>Not Specified</c:v>
                </c:pt>
                <c:pt idx="5">
                  <c:v>Subway</c:v>
                </c:pt>
              </c:strCache>
            </c:strRef>
          </c:cat>
          <c:val>
            <c:numRef>
              <c:f>'INSIGHT 7'!$C$3:$C$9</c:f>
              <c:numCache>
                <c:formatCode>General</c:formatCode>
                <c:ptCount val="6"/>
                <c:pt idx="0">
                  <c:v>18</c:v>
                </c:pt>
                <c:pt idx="1">
                  <c:v>29</c:v>
                </c:pt>
                <c:pt idx="2">
                  <c:v>15</c:v>
                </c:pt>
                <c:pt idx="3">
                  <c:v>39</c:v>
                </c:pt>
                <c:pt idx="4">
                  <c:v>13</c:v>
                </c:pt>
                <c:pt idx="5">
                  <c:v>15</c:v>
                </c:pt>
              </c:numCache>
            </c:numRef>
          </c:val>
          <c:extLst>
            <c:ext xmlns:c16="http://schemas.microsoft.com/office/drawing/2014/chart" uri="{C3380CC4-5D6E-409C-BE32-E72D297353CC}">
              <c16:uniqueId val="{00000001-5DA5-40AE-9BA9-734B1E9C91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1!PivotTable12</c:name>
    <c:fmtId val="3"/>
  </c:pivotSource>
  <c:chart>
    <c:title>
      <c:tx>
        <c:rich>
          <a:bodyPr rot="0" spcFirstLastPara="1" vertOverflow="ellipsis" vert="horz" wrap="square" anchor="ctr" anchorCtr="1"/>
          <a:lstStyle/>
          <a:p>
            <a:pPr>
              <a:defRPr sz="1400" b="1" i="0" u="none" strike="noStrike" kern="1200" spc="0" baseline="0">
                <a:solidFill>
                  <a:srgbClr val="C00000"/>
                </a:solidFill>
                <a:latin typeface="Arial Black" panose="020B0A04020102020204" pitchFamily="34" charset="0"/>
                <a:ea typeface="+mn-ea"/>
                <a:cs typeface="+mn-cs"/>
              </a:defRPr>
            </a:pPr>
            <a:r>
              <a:rPr lang="en-US" b="1">
                <a:solidFill>
                  <a:srgbClr val="C00000"/>
                </a:solidFill>
                <a:latin typeface="Arial Black" panose="020B0A04020102020204" pitchFamily="34" charset="0"/>
              </a:rPr>
              <a:t>TREND</a:t>
            </a:r>
            <a:r>
              <a:rPr lang="en-US" b="1" baseline="0">
                <a:solidFill>
                  <a:srgbClr val="C00000"/>
                </a:solidFill>
                <a:latin typeface="Arial Black" panose="020B0A04020102020204" pitchFamily="34" charset="0"/>
              </a:rPr>
              <a:t> ANALYSIS</a:t>
            </a:r>
            <a:endParaRPr lang="en-US" b="1">
              <a:solidFill>
                <a:srgbClr val="C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c:f>
              <c:strCache>
                <c:ptCount val="1"/>
                <c:pt idx="0">
                  <c:v>Total</c:v>
                </c:pt>
              </c:strCache>
            </c:strRef>
          </c:tx>
          <c:spPr>
            <a:solidFill>
              <a:schemeClr val="accent1"/>
            </a:solidFill>
            <a:ln>
              <a:noFill/>
            </a:ln>
            <a:effectLst/>
          </c:spPr>
          <c:invertIfNegative val="0"/>
          <c:cat>
            <c:strRef>
              <c:f>'CHART 1'!$A$4:$A$15</c:f>
              <c:strCache>
                <c:ptCount val="11"/>
                <c:pt idx="0">
                  <c:v>Burger</c:v>
                </c:pt>
                <c:pt idx="1">
                  <c:v>Fries</c:v>
                </c:pt>
                <c:pt idx="2">
                  <c:v>Not Specified</c:v>
                </c:pt>
                <c:pt idx="3">
                  <c:v>Nuggets</c:v>
                </c:pt>
                <c:pt idx="4">
                  <c:v>Pasta</c:v>
                </c:pt>
                <c:pt idx="5">
                  <c:v>Pizza</c:v>
                </c:pt>
                <c:pt idx="6">
                  <c:v>Salad</c:v>
                </c:pt>
                <c:pt idx="7">
                  <c:v>Sandwich</c:v>
                </c:pt>
                <c:pt idx="8">
                  <c:v>Sushi</c:v>
                </c:pt>
                <c:pt idx="9">
                  <c:v>Taco</c:v>
                </c:pt>
                <c:pt idx="10">
                  <c:v>Wrap</c:v>
                </c:pt>
              </c:strCache>
            </c:strRef>
          </c:cat>
          <c:val>
            <c:numRef>
              <c:f>'CHART 1'!$B$4:$B$15</c:f>
              <c:numCache>
                <c:formatCode>General</c:formatCode>
                <c:ptCount val="11"/>
                <c:pt idx="0">
                  <c:v>231</c:v>
                </c:pt>
                <c:pt idx="1">
                  <c:v>252</c:v>
                </c:pt>
                <c:pt idx="2">
                  <c:v>230</c:v>
                </c:pt>
                <c:pt idx="3">
                  <c:v>140</c:v>
                </c:pt>
                <c:pt idx="4">
                  <c:v>215</c:v>
                </c:pt>
                <c:pt idx="5">
                  <c:v>25</c:v>
                </c:pt>
                <c:pt idx="6">
                  <c:v>225</c:v>
                </c:pt>
                <c:pt idx="7">
                  <c:v>280</c:v>
                </c:pt>
                <c:pt idx="8">
                  <c:v>347</c:v>
                </c:pt>
                <c:pt idx="9">
                  <c:v>215</c:v>
                </c:pt>
                <c:pt idx="10">
                  <c:v>20</c:v>
                </c:pt>
              </c:numCache>
            </c:numRef>
          </c:val>
          <c:extLst>
            <c:ext xmlns:c16="http://schemas.microsoft.com/office/drawing/2014/chart" uri="{C3380CC4-5D6E-409C-BE32-E72D297353CC}">
              <c16:uniqueId val="{00000000-B4EF-4D5E-BBE3-EB4C5653EB26}"/>
            </c:ext>
          </c:extLst>
        </c:ser>
        <c:dLbls>
          <c:showLegendKey val="0"/>
          <c:showVal val="0"/>
          <c:showCatName val="0"/>
          <c:showSerName val="0"/>
          <c:showPercent val="0"/>
          <c:showBubbleSize val="0"/>
        </c:dLbls>
        <c:gapWidth val="219"/>
        <c:overlap val="-27"/>
        <c:axId val="2021491311"/>
        <c:axId val="2021496303"/>
      </c:barChart>
      <c:catAx>
        <c:axId val="202149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6303"/>
        <c:crosses val="autoZero"/>
        <c:auto val="1"/>
        <c:lblAlgn val="ctr"/>
        <c:lblOffset val="100"/>
        <c:noMultiLvlLbl val="0"/>
      </c:catAx>
      <c:valAx>
        <c:axId val="202149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2!PivotTable13</c:name>
    <c:fmtId val="3"/>
  </c:pivotSource>
  <c:chart>
    <c:title>
      <c:tx>
        <c:rich>
          <a:bodyPr rot="0" spcFirstLastPara="1" vertOverflow="ellipsis" vert="horz" wrap="square" anchor="ctr" anchorCtr="1"/>
          <a:lstStyle/>
          <a:p>
            <a:pPr>
              <a:defRPr sz="1400" b="1" i="0" u="none" strike="noStrike" kern="1200" spc="0" baseline="0">
                <a:solidFill>
                  <a:srgbClr val="FF0000"/>
                </a:solidFill>
                <a:latin typeface="Arial Black" panose="020B0A04020102020204" pitchFamily="34" charset="0"/>
                <a:ea typeface="+mn-ea"/>
                <a:cs typeface="+mn-cs"/>
              </a:defRPr>
            </a:pPr>
            <a:r>
              <a:rPr lang="en-US" sz="1400" b="1">
                <a:solidFill>
                  <a:srgbClr val="FF0000"/>
                </a:solidFill>
                <a:latin typeface="Arial Black" panose="020B0A04020102020204" pitchFamily="34" charset="0"/>
              </a:rPr>
              <a:t>REVENUE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2'!$B$2</c:f>
              <c:strCache>
                <c:ptCount val="1"/>
                <c:pt idx="0">
                  <c:v>Total</c:v>
                </c:pt>
              </c:strCache>
            </c:strRef>
          </c:tx>
          <c:spPr>
            <a:ln w="28575" cap="rnd">
              <a:solidFill>
                <a:schemeClr val="accent1"/>
              </a:solidFill>
              <a:round/>
            </a:ln>
            <a:effectLst/>
          </c:spPr>
          <c:marker>
            <c:symbol val="none"/>
          </c:marker>
          <c:cat>
            <c:strRef>
              <c:f>'CHART 2'!$A$3:$A$9</c:f>
              <c:strCache>
                <c:ptCount val="6"/>
                <c:pt idx="0">
                  <c:v>Burger King</c:v>
                </c:pt>
                <c:pt idx="1">
                  <c:v>Dominos</c:v>
                </c:pt>
                <c:pt idx="2">
                  <c:v>KFC</c:v>
                </c:pt>
                <c:pt idx="3">
                  <c:v>McDonalds</c:v>
                </c:pt>
                <c:pt idx="4">
                  <c:v>Not Specified</c:v>
                </c:pt>
                <c:pt idx="5">
                  <c:v>Subway</c:v>
                </c:pt>
              </c:strCache>
            </c:strRef>
          </c:cat>
          <c:val>
            <c:numRef>
              <c:f>'CHART 2'!$B$3:$B$9</c:f>
              <c:numCache>
                <c:formatCode>General</c:formatCode>
                <c:ptCount val="6"/>
                <c:pt idx="0">
                  <c:v>261</c:v>
                </c:pt>
                <c:pt idx="1">
                  <c:v>447</c:v>
                </c:pt>
                <c:pt idx="2">
                  <c:v>295</c:v>
                </c:pt>
                <c:pt idx="3">
                  <c:v>625</c:v>
                </c:pt>
                <c:pt idx="4">
                  <c:v>225</c:v>
                </c:pt>
                <c:pt idx="5">
                  <c:v>327</c:v>
                </c:pt>
              </c:numCache>
            </c:numRef>
          </c:val>
          <c:smooth val="0"/>
          <c:extLst>
            <c:ext xmlns:c16="http://schemas.microsoft.com/office/drawing/2014/chart" uri="{C3380CC4-5D6E-409C-BE32-E72D297353CC}">
              <c16:uniqueId val="{00000000-A8A9-4EB5-B1B6-2A3492166D12}"/>
            </c:ext>
          </c:extLst>
        </c:ser>
        <c:dLbls>
          <c:showLegendKey val="0"/>
          <c:showVal val="0"/>
          <c:showCatName val="0"/>
          <c:showSerName val="0"/>
          <c:showPercent val="0"/>
          <c:showBubbleSize val="0"/>
        </c:dLbls>
        <c:smooth val="0"/>
        <c:axId val="2007421119"/>
        <c:axId val="2007421535"/>
      </c:lineChart>
      <c:catAx>
        <c:axId val="20074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7421535"/>
        <c:crosses val="autoZero"/>
        <c:auto val="1"/>
        <c:lblAlgn val="ctr"/>
        <c:lblOffset val="100"/>
        <c:noMultiLvlLbl val="0"/>
      </c:catAx>
      <c:valAx>
        <c:axId val="2007421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742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3!PivotTable14</c:name>
    <c:fmtId val="3"/>
  </c:pivotSource>
  <c:chart>
    <c:title>
      <c:tx>
        <c:rich>
          <a:bodyPr rot="0" spcFirstLastPara="1" vertOverflow="ellipsis" vert="horz" wrap="square" anchor="ctr" anchorCtr="1"/>
          <a:lstStyle/>
          <a:p>
            <a:pPr>
              <a:defRPr sz="1400" b="1" i="0" u="none" strike="noStrike" kern="1200" spc="0" baseline="0">
                <a:solidFill>
                  <a:srgbClr val="C00000"/>
                </a:solidFill>
                <a:latin typeface="Arial Black" panose="020B0A04020102020204" pitchFamily="34" charset="0"/>
                <a:ea typeface="+mn-ea"/>
                <a:cs typeface="+mn-cs"/>
              </a:defRPr>
            </a:pPr>
            <a:r>
              <a:rPr lang="en-US" b="1">
                <a:solidFill>
                  <a:srgbClr val="C00000"/>
                </a:solidFill>
                <a:latin typeface="Arial Black" panose="020B0A04020102020204" pitchFamily="34" charset="0"/>
              </a:rPr>
              <a:t>PRODUCT</a:t>
            </a:r>
            <a:r>
              <a:rPr lang="en-US" b="1" baseline="0">
                <a:solidFill>
                  <a:srgbClr val="C00000"/>
                </a:solidFill>
                <a:latin typeface="Arial Black" panose="020B0A04020102020204" pitchFamily="34" charset="0"/>
              </a:rPr>
              <a:t> ANALYSIS</a:t>
            </a:r>
            <a:endParaRPr lang="en-US" b="1">
              <a:solidFill>
                <a:srgbClr val="C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'CHART 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AF-43CE-BC48-FF5B6AEDF3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AF-43CE-BC48-FF5B6AEDF3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AF-43CE-BC48-FF5B6AEDF3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AF-43CE-BC48-FF5B6AEDF3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AF-43CE-BC48-FF5B6AEDF3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AF-43CE-BC48-FF5B6AEDF3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2AF-43CE-BC48-FF5B6AEDF3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AF-43CE-BC48-FF5B6AEDF3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2AF-43CE-BC48-FF5B6AEDF3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2AF-43CE-BC48-FF5B6AEDF3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2AF-43CE-BC48-FF5B6AEDF3BF}"/>
              </c:ext>
            </c:extLst>
          </c:dPt>
          <c:cat>
            <c:strRef>
              <c:f>'CHART 3'!$A$5:$A$16</c:f>
              <c:strCache>
                <c:ptCount val="11"/>
                <c:pt idx="0">
                  <c:v>Burger</c:v>
                </c:pt>
                <c:pt idx="1">
                  <c:v>Fries</c:v>
                </c:pt>
                <c:pt idx="2">
                  <c:v>Not Specified</c:v>
                </c:pt>
                <c:pt idx="3">
                  <c:v>Nuggets</c:v>
                </c:pt>
                <c:pt idx="4">
                  <c:v>Pasta</c:v>
                </c:pt>
                <c:pt idx="5">
                  <c:v>Pizza</c:v>
                </c:pt>
                <c:pt idx="6">
                  <c:v>Salad</c:v>
                </c:pt>
                <c:pt idx="7">
                  <c:v>Sandwich</c:v>
                </c:pt>
                <c:pt idx="8">
                  <c:v>Sushi</c:v>
                </c:pt>
                <c:pt idx="9">
                  <c:v>Taco</c:v>
                </c:pt>
                <c:pt idx="10">
                  <c:v>Wrap</c:v>
                </c:pt>
              </c:strCache>
            </c:strRef>
          </c:cat>
          <c:val>
            <c:numRef>
              <c:f>'CHART 3'!$B$5:$B$16</c:f>
              <c:numCache>
                <c:formatCode>General</c:formatCode>
                <c:ptCount val="11"/>
                <c:pt idx="0">
                  <c:v>10</c:v>
                </c:pt>
                <c:pt idx="1">
                  <c:v>16</c:v>
                </c:pt>
                <c:pt idx="2">
                  <c:v>19</c:v>
                </c:pt>
                <c:pt idx="3">
                  <c:v>6</c:v>
                </c:pt>
                <c:pt idx="4">
                  <c:v>12</c:v>
                </c:pt>
                <c:pt idx="5">
                  <c:v>1</c:v>
                </c:pt>
                <c:pt idx="6">
                  <c:v>10</c:v>
                </c:pt>
                <c:pt idx="7">
                  <c:v>21</c:v>
                </c:pt>
                <c:pt idx="8">
                  <c:v>19</c:v>
                </c:pt>
                <c:pt idx="9">
                  <c:v>14</c:v>
                </c:pt>
                <c:pt idx="10">
                  <c:v>1</c:v>
                </c:pt>
              </c:numCache>
            </c:numRef>
          </c:val>
          <c:extLst>
            <c:ext xmlns:c16="http://schemas.microsoft.com/office/drawing/2014/chart" uri="{C3380CC4-5D6E-409C-BE32-E72D297353CC}">
              <c16:uniqueId val="{00000016-D2AF-43CE-BC48-FF5B6AEDF3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4!PivotTable15</c:name>
    <c:fmtId val="3"/>
  </c:pivotSource>
  <c:chart>
    <c:title>
      <c:tx>
        <c:rich>
          <a:bodyPr rot="0" spcFirstLastPara="1" vertOverflow="ellipsis" vert="horz" wrap="square" anchor="ctr" anchorCtr="1"/>
          <a:lstStyle/>
          <a:p>
            <a:pPr>
              <a:defRPr sz="1200" b="1" i="0" u="none" strike="noStrike" kern="1200" spc="0" baseline="0">
                <a:solidFill>
                  <a:srgbClr val="C00000"/>
                </a:solidFill>
                <a:latin typeface="Arial Black" panose="020B0A04020102020204" pitchFamily="34" charset="0"/>
                <a:ea typeface="+mn-ea"/>
                <a:cs typeface="+mn-cs"/>
              </a:defRPr>
            </a:pPr>
            <a:r>
              <a:rPr lang="en-US" sz="1200" b="1">
                <a:solidFill>
                  <a:srgbClr val="C00000"/>
                </a:solidFill>
                <a:latin typeface="Arial Black" panose="020B0A04020102020204" pitchFamily="34" charset="0"/>
              </a:rPr>
              <a:t>CUSTOMER</a:t>
            </a:r>
            <a:r>
              <a:rPr lang="en-US" sz="1200" b="1" baseline="0">
                <a:solidFill>
                  <a:srgbClr val="C00000"/>
                </a:solidFill>
                <a:latin typeface="Arial Black" panose="020B0A04020102020204" pitchFamily="34" charset="0"/>
              </a:rPr>
              <a:t> ANALYSIS</a:t>
            </a:r>
            <a:endParaRPr lang="en-US" sz="1200" b="1">
              <a:solidFill>
                <a:srgbClr val="C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C00000"/>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4'!$B$4</c:f>
              <c:strCache>
                <c:ptCount val="1"/>
                <c:pt idx="0">
                  <c:v>Total</c:v>
                </c:pt>
              </c:strCache>
            </c:strRef>
          </c:tx>
          <c:spPr>
            <a:solidFill>
              <a:schemeClr val="accent1"/>
            </a:solidFill>
            <a:ln>
              <a:noFill/>
            </a:ln>
            <a:effectLst/>
          </c:spPr>
          <c:invertIfNegative val="0"/>
          <c:cat>
            <c:strRef>
              <c:f>'CHART 4'!$A$5:$A$33</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Not Specified</c:v>
                </c:pt>
                <c:pt idx="24">
                  <c:v>Sarah Jones</c:v>
                </c:pt>
                <c:pt idx="25">
                  <c:v>Sarah Miller</c:v>
                </c:pt>
                <c:pt idx="26">
                  <c:v>Sarah Rodriguez</c:v>
                </c:pt>
                <c:pt idx="27">
                  <c:v>Sarah Williams</c:v>
                </c:pt>
              </c:strCache>
            </c:strRef>
          </c:cat>
          <c:val>
            <c:numRef>
              <c:f>'CHART 4'!$B$5:$B$33</c:f>
              <c:numCache>
                <c:formatCode>General</c:formatCode>
                <c:ptCount val="28"/>
                <c:pt idx="0">
                  <c:v>15</c:v>
                </c:pt>
                <c:pt idx="1">
                  <c:v>125</c:v>
                </c:pt>
                <c:pt idx="2">
                  <c:v>20</c:v>
                </c:pt>
                <c:pt idx="3">
                  <c:v>80</c:v>
                </c:pt>
                <c:pt idx="4">
                  <c:v>140</c:v>
                </c:pt>
                <c:pt idx="5">
                  <c:v>40</c:v>
                </c:pt>
                <c:pt idx="6">
                  <c:v>125</c:v>
                </c:pt>
                <c:pt idx="7">
                  <c:v>190</c:v>
                </c:pt>
                <c:pt idx="8">
                  <c:v>30</c:v>
                </c:pt>
                <c:pt idx="9">
                  <c:v>30</c:v>
                </c:pt>
                <c:pt idx="10">
                  <c:v>60</c:v>
                </c:pt>
                <c:pt idx="11">
                  <c:v>175</c:v>
                </c:pt>
                <c:pt idx="12">
                  <c:v>20</c:v>
                </c:pt>
                <c:pt idx="13">
                  <c:v>125</c:v>
                </c:pt>
                <c:pt idx="14">
                  <c:v>100</c:v>
                </c:pt>
                <c:pt idx="15">
                  <c:v>25</c:v>
                </c:pt>
                <c:pt idx="16">
                  <c:v>20</c:v>
                </c:pt>
                <c:pt idx="17">
                  <c:v>65</c:v>
                </c:pt>
                <c:pt idx="18">
                  <c:v>17</c:v>
                </c:pt>
                <c:pt idx="19">
                  <c:v>50</c:v>
                </c:pt>
                <c:pt idx="20">
                  <c:v>20</c:v>
                </c:pt>
                <c:pt idx="21">
                  <c:v>5</c:v>
                </c:pt>
                <c:pt idx="22">
                  <c:v>10</c:v>
                </c:pt>
                <c:pt idx="23">
                  <c:v>453</c:v>
                </c:pt>
                <c:pt idx="24">
                  <c:v>50</c:v>
                </c:pt>
                <c:pt idx="25">
                  <c:v>25</c:v>
                </c:pt>
                <c:pt idx="26">
                  <c:v>75</c:v>
                </c:pt>
                <c:pt idx="27">
                  <c:v>90</c:v>
                </c:pt>
              </c:numCache>
            </c:numRef>
          </c:val>
          <c:extLst>
            <c:ext xmlns:c16="http://schemas.microsoft.com/office/drawing/2014/chart" uri="{C3380CC4-5D6E-409C-BE32-E72D297353CC}">
              <c16:uniqueId val="{00000000-E059-4C6E-88E6-BD60E362DB70}"/>
            </c:ext>
          </c:extLst>
        </c:ser>
        <c:dLbls>
          <c:showLegendKey val="0"/>
          <c:showVal val="0"/>
          <c:showCatName val="0"/>
          <c:showSerName val="0"/>
          <c:showPercent val="0"/>
          <c:showBubbleSize val="0"/>
        </c:dLbls>
        <c:gapWidth val="219"/>
        <c:overlap val="-27"/>
        <c:axId val="494416575"/>
        <c:axId val="494412415"/>
      </c:barChart>
      <c:catAx>
        <c:axId val="4944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4412415"/>
        <c:crosses val="autoZero"/>
        <c:auto val="1"/>
        <c:lblAlgn val="ctr"/>
        <c:lblOffset val="100"/>
        <c:noMultiLvlLbl val="0"/>
      </c:catAx>
      <c:valAx>
        <c:axId val="49441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441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5!PivotTable16</c:name>
    <c:fmtId val="3"/>
  </c:pivotSource>
  <c:chart>
    <c:title>
      <c:tx>
        <c:rich>
          <a:bodyPr rot="0" spcFirstLastPara="1" vertOverflow="ellipsis" vert="horz" wrap="square" anchor="ctr" anchorCtr="1"/>
          <a:lstStyle/>
          <a:p>
            <a:pPr>
              <a:defRPr sz="1200" b="0" i="0" u="none" strike="noStrike" kern="1200" spc="0" baseline="0">
                <a:solidFill>
                  <a:srgbClr val="FFFF00"/>
                </a:solidFill>
                <a:latin typeface="Arial Black" panose="020B0A04020102020204" pitchFamily="34" charset="0"/>
                <a:ea typeface="+mn-ea"/>
                <a:cs typeface="+mn-cs"/>
              </a:defRPr>
            </a:pPr>
            <a:r>
              <a:rPr lang="en-US" sz="1200">
                <a:solidFill>
                  <a:srgbClr val="FFFF00"/>
                </a:solidFill>
                <a:latin typeface="Arial Black" panose="020B0A04020102020204" pitchFamily="34" charset="0"/>
              </a:rPr>
              <a:t>TIME</a:t>
            </a:r>
            <a:r>
              <a:rPr lang="en-US" sz="1200" baseline="0">
                <a:solidFill>
                  <a:srgbClr val="FFFF00"/>
                </a:solidFill>
                <a:latin typeface="Arial Black" panose="020B0A04020102020204" pitchFamily="34" charset="0"/>
              </a:rPr>
              <a:t> BASE ANALYSIS</a:t>
            </a:r>
            <a:endParaRPr lang="en-US" sz="1200">
              <a:solidFill>
                <a:srgbClr val="FFFF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FF00"/>
              </a:solidFill>
              <a:latin typeface="Arial Black" panose="020B0A0402010202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5'!$B$4</c:f>
              <c:strCache>
                <c:ptCount val="1"/>
                <c:pt idx="0">
                  <c:v>Total</c:v>
                </c:pt>
              </c:strCache>
            </c:strRef>
          </c:tx>
          <c:spPr>
            <a:solidFill>
              <a:schemeClr val="accent1"/>
            </a:solidFill>
            <a:ln>
              <a:noFill/>
            </a:ln>
            <a:effectLst/>
          </c:spPr>
          <c:invertIfNegative val="0"/>
          <c:cat>
            <c:strRef>
              <c:f>'CHART 5'!$A$5:$A$7</c:f>
              <c:strCache>
                <c:ptCount val="2"/>
                <c:pt idx="0">
                  <c:v>Jan</c:v>
                </c:pt>
                <c:pt idx="1">
                  <c:v>Feb</c:v>
                </c:pt>
              </c:strCache>
            </c:strRef>
          </c:cat>
          <c:val>
            <c:numRef>
              <c:f>'CHART 5'!$B$5:$B$7</c:f>
              <c:numCache>
                <c:formatCode>General</c:formatCode>
                <c:ptCount val="2"/>
                <c:pt idx="0">
                  <c:v>1740</c:v>
                </c:pt>
                <c:pt idx="1">
                  <c:v>440</c:v>
                </c:pt>
              </c:numCache>
            </c:numRef>
          </c:val>
          <c:extLst>
            <c:ext xmlns:c16="http://schemas.microsoft.com/office/drawing/2014/chart" uri="{C3380CC4-5D6E-409C-BE32-E72D297353CC}">
              <c16:uniqueId val="{00000000-4D49-4B64-A192-B9866E04FB5A}"/>
            </c:ext>
          </c:extLst>
        </c:ser>
        <c:dLbls>
          <c:showLegendKey val="0"/>
          <c:showVal val="0"/>
          <c:showCatName val="0"/>
          <c:showSerName val="0"/>
          <c:showPercent val="0"/>
          <c:showBubbleSize val="0"/>
        </c:dLbls>
        <c:gapWidth val="182"/>
        <c:axId val="2021495471"/>
        <c:axId val="2021499631"/>
      </c:barChart>
      <c:catAx>
        <c:axId val="202149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9631"/>
        <c:crosses val="autoZero"/>
        <c:auto val="1"/>
        <c:lblAlgn val="ctr"/>
        <c:lblOffset val="100"/>
        <c:noMultiLvlLbl val="0"/>
      </c:catAx>
      <c:valAx>
        <c:axId val="202149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6!PivotTable17</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a:solidFill>
                  <a:srgbClr val="002060"/>
                </a:solidFill>
                <a:latin typeface="+mn-lt"/>
              </a:rPr>
              <a:t>PRICE</a:t>
            </a:r>
            <a:r>
              <a:rPr lang="en-US" sz="1400" b="1" baseline="0">
                <a:solidFill>
                  <a:srgbClr val="002060"/>
                </a:solidFill>
                <a:latin typeface="+mn-lt"/>
              </a:rPr>
              <a:t> OF DISH ORDERED BY RESTAUTRANT</a:t>
            </a:r>
            <a:endParaRPr lang="en-US" sz="1400" b="1">
              <a:solidFill>
                <a:srgbClr val="002060"/>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'CHART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0F-4744-9702-DF1D53C362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0F-4744-9702-DF1D53C362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0F-4744-9702-DF1D53C362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0F-4744-9702-DF1D53C362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0F-4744-9702-DF1D53C362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0F-4744-9702-DF1D53C362E6}"/>
              </c:ext>
            </c:extLst>
          </c:dPt>
          <c:cat>
            <c:strRef>
              <c:f>'CHART 6'!$A$5:$A$11</c:f>
              <c:strCache>
                <c:ptCount val="6"/>
                <c:pt idx="0">
                  <c:v>Burger King</c:v>
                </c:pt>
                <c:pt idx="1">
                  <c:v>Dominos</c:v>
                </c:pt>
                <c:pt idx="2">
                  <c:v>KFC</c:v>
                </c:pt>
                <c:pt idx="3">
                  <c:v>McDonalds</c:v>
                </c:pt>
                <c:pt idx="4">
                  <c:v>Not Specified</c:v>
                </c:pt>
                <c:pt idx="5">
                  <c:v>Subway</c:v>
                </c:pt>
              </c:strCache>
            </c:strRef>
          </c:cat>
          <c:val>
            <c:numRef>
              <c:f>'CHART 6'!$B$5:$B$11</c:f>
              <c:numCache>
                <c:formatCode>General</c:formatCode>
                <c:ptCount val="6"/>
                <c:pt idx="0">
                  <c:v>93</c:v>
                </c:pt>
                <c:pt idx="1">
                  <c:v>107</c:v>
                </c:pt>
                <c:pt idx="2">
                  <c:v>95</c:v>
                </c:pt>
                <c:pt idx="3">
                  <c:v>170</c:v>
                </c:pt>
                <c:pt idx="4">
                  <c:v>145</c:v>
                </c:pt>
                <c:pt idx="5">
                  <c:v>112</c:v>
                </c:pt>
              </c:numCache>
            </c:numRef>
          </c:val>
          <c:extLst>
            <c:ext xmlns:c16="http://schemas.microsoft.com/office/drawing/2014/chart" uri="{C3380CC4-5D6E-409C-BE32-E72D297353CC}">
              <c16:uniqueId val="{0000000C-930F-4744-9702-DF1D53C362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QTY/RESTAURANT/D.ORDER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6'!$B$2</c:f>
              <c:strCache>
                <c:ptCount val="1"/>
                <c:pt idx="0">
                  <c:v>Total</c:v>
                </c:pt>
              </c:strCache>
            </c:strRef>
          </c:tx>
          <c:spPr>
            <a:solidFill>
              <a:schemeClr val="accent1"/>
            </a:solidFill>
            <a:ln>
              <a:noFill/>
            </a:ln>
            <a:effectLst/>
          </c:spPr>
          <c:invertIfNegative val="0"/>
          <c:cat>
            <c:multiLvlStrRef>
              <c:f>'INSIGHT 6'!$A$3:$A$11</c:f>
              <c:multiLvlStrCache>
                <c:ptCount val="4"/>
                <c:lvl>
                  <c:pt idx="0">
                    <c:v>Fries</c:v>
                  </c:pt>
                  <c:pt idx="1">
                    <c:v>Fries</c:v>
                  </c:pt>
                  <c:pt idx="2">
                    <c:v>Fries</c:v>
                  </c:pt>
                  <c:pt idx="3">
                    <c:v>Fries</c:v>
                  </c:pt>
                </c:lvl>
                <c:lvl>
                  <c:pt idx="0">
                    <c:v>Burger King</c:v>
                  </c:pt>
                  <c:pt idx="1">
                    <c:v>Dominos</c:v>
                  </c:pt>
                  <c:pt idx="2">
                    <c:v>McDonalds</c:v>
                  </c:pt>
                  <c:pt idx="3">
                    <c:v>Not Specified</c:v>
                  </c:pt>
                </c:lvl>
              </c:multiLvlStrCache>
            </c:multiLvlStrRef>
          </c:cat>
          <c:val>
            <c:numRef>
              <c:f>'INSIGHT 6'!$B$3:$B$11</c:f>
              <c:numCache>
                <c:formatCode>General</c:formatCode>
                <c:ptCount val="4"/>
                <c:pt idx="0">
                  <c:v>5</c:v>
                </c:pt>
                <c:pt idx="1">
                  <c:v>8</c:v>
                </c:pt>
                <c:pt idx="2">
                  <c:v>1</c:v>
                </c:pt>
                <c:pt idx="3">
                  <c:v>2</c:v>
                </c:pt>
              </c:numCache>
            </c:numRef>
          </c:val>
          <c:extLst>
            <c:ext xmlns:c16="http://schemas.microsoft.com/office/drawing/2014/chart" uri="{C3380CC4-5D6E-409C-BE32-E72D297353CC}">
              <c16:uniqueId val="{00000000-C5EF-4EEB-900B-0159799C8B3F}"/>
            </c:ext>
          </c:extLst>
        </c:ser>
        <c:dLbls>
          <c:showLegendKey val="0"/>
          <c:showVal val="0"/>
          <c:showCatName val="0"/>
          <c:showSerName val="0"/>
          <c:showPercent val="0"/>
          <c:showBubbleSize val="0"/>
        </c:dLbls>
        <c:gapWidth val="219"/>
        <c:overlap val="-27"/>
        <c:axId val="1679354927"/>
        <c:axId val="1679366991"/>
      </c:barChart>
      <c:catAx>
        <c:axId val="167935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9366991"/>
        <c:crosses val="autoZero"/>
        <c:auto val="1"/>
        <c:lblAlgn val="ctr"/>
        <c:lblOffset val="100"/>
        <c:noMultiLvlLbl val="0"/>
      </c:catAx>
      <c:valAx>
        <c:axId val="167936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935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QTY/RESTAURANT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'INSIGHT 5'!$B$2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20-4310-AD12-FBDD332E18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20-4310-AD12-FBDD332E18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20-4310-AD12-FBDD332E18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20-4310-AD12-FBDD332E18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20-4310-AD12-FBDD332E18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20-4310-AD12-FBDD332E185F}"/>
              </c:ext>
            </c:extLst>
          </c:dPt>
          <c:cat>
            <c:strRef>
              <c:f>'INSIGHT 5'!$A$3:$A$9</c:f>
              <c:strCache>
                <c:ptCount val="6"/>
                <c:pt idx="0">
                  <c:v>Burger King</c:v>
                </c:pt>
                <c:pt idx="1">
                  <c:v>Dominos</c:v>
                </c:pt>
                <c:pt idx="2">
                  <c:v>KFC</c:v>
                </c:pt>
                <c:pt idx="3">
                  <c:v>McDonalds</c:v>
                </c:pt>
                <c:pt idx="4">
                  <c:v>Not Specified</c:v>
                </c:pt>
                <c:pt idx="5">
                  <c:v>Subway</c:v>
                </c:pt>
              </c:strCache>
            </c:strRef>
          </c:cat>
          <c:val>
            <c:numRef>
              <c:f>'INSIGHT 5'!$B$3:$B$9</c:f>
              <c:numCache>
                <c:formatCode>General</c:formatCode>
                <c:ptCount val="6"/>
                <c:pt idx="0">
                  <c:v>18</c:v>
                </c:pt>
                <c:pt idx="1">
                  <c:v>29</c:v>
                </c:pt>
                <c:pt idx="2">
                  <c:v>15</c:v>
                </c:pt>
                <c:pt idx="3">
                  <c:v>39</c:v>
                </c:pt>
                <c:pt idx="4">
                  <c:v>13</c:v>
                </c:pt>
                <c:pt idx="5">
                  <c:v>15</c:v>
                </c:pt>
              </c:numCache>
            </c:numRef>
          </c:val>
          <c:extLst>
            <c:ext xmlns:c16="http://schemas.microsoft.com/office/drawing/2014/chart" uri="{C3380CC4-5D6E-409C-BE32-E72D297353CC}">
              <c16:uniqueId val="{00000000-F148-4DA1-AB5D-B592918CB1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QTY/PRICE</a:t>
            </a:r>
            <a:r>
              <a:rPr lang="en-US" baseline="0"/>
              <a:t> OF D.ORDERED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4'!$B$2</c:f>
              <c:strCache>
                <c:ptCount val="1"/>
                <c:pt idx="0">
                  <c:v>Sum of Quantity</c:v>
                </c:pt>
              </c:strCache>
            </c:strRef>
          </c:tx>
          <c:spPr>
            <a:solidFill>
              <a:schemeClr val="accent1"/>
            </a:solidFill>
            <a:ln>
              <a:noFill/>
            </a:ln>
            <a:effectLst/>
          </c:spPr>
          <c:invertIfNegative val="0"/>
          <c:cat>
            <c:strRef>
              <c:f>'INSIGHT 4'!$A$3:$A$4</c:f>
              <c:strCache>
                <c:ptCount val="1"/>
                <c:pt idx="0">
                  <c:v>Fries</c:v>
                </c:pt>
              </c:strCache>
            </c:strRef>
          </c:cat>
          <c:val>
            <c:numRef>
              <c:f>'INSIGHT 4'!$B$3:$B$4</c:f>
              <c:numCache>
                <c:formatCode>General</c:formatCode>
                <c:ptCount val="1"/>
                <c:pt idx="0">
                  <c:v>16</c:v>
                </c:pt>
              </c:numCache>
            </c:numRef>
          </c:val>
          <c:extLst>
            <c:ext xmlns:c16="http://schemas.microsoft.com/office/drawing/2014/chart" uri="{C3380CC4-5D6E-409C-BE32-E72D297353CC}">
              <c16:uniqueId val="{00000000-094D-447B-A7D4-32548A2E6521}"/>
            </c:ext>
          </c:extLst>
        </c:ser>
        <c:ser>
          <c:idx val="1"/>
          <c:order val="1"/>
          <c:tx>
            <c:strRef>
              <c:f>'INSIGHT 4'!$C$2</c:f>
              <c:strCache>
                <c:ptCount val="1"/>
                <c:pt idx="0">
                  <c:v>Sum of Price of Dish Ordered</c:v>
                </c:pt>
              </c:strCache>
            </c:strRef>
          </c:tx>
          <c:spPr>
            <a:solidFill>
              <a:schemeClr val="accent2"/>
            </a:solidFill>
            <a:ln>
              <a:noFill/>
            </a:ln>
            <a:effectLst/>
          </c:spPr>
          <c:invertIfNegative val="0"/>
          <c:cat>
            <c:strRef>
              <c:f>'INSIGHT 4'!$A$3:$A$4</c:f>
              <c:strCache>
                <c:ptCount val="1"/>
                <c:pt idx="0">
                  <c:v>Fries</c:v>
                </c:pt>
              </c:strCache>
            </c:strRef>
          </c:cat>
          <c:val>
            <c:numRef>
              <c:f>'INSIGHT 4'!$C$3:$C$4</c:f>
              <c:numCache>
                <c:formatCode>General</c:formatCode>
                <c:ptCount val="1"/>
                <c:pt idx="0">
                  <c:v>69</c:v>
                </c:pt>
              </c:numCache>
            </c:numRef>
          </c:val>
          <c:extLst>
            <c:ext xmlns:c16="http://schemas.microsoft.com/office/drawing/2014/chart" uri="{C3380CC4-5D6E-409C-BE32-E72D297353CC}">
              <c16:uniqueId val="{00000001-094D-447B-A7D4-32548A2E6521}"/>
            </c:ext>
          </c:extLst>
        </c:ser>
        <c:dLbls>
          <c:showLegendKey val="0"/>
          <c:showVal val="0"/>
          <c:showCatName val="0"/>
          <c:showSerName val="0"/>
          <c:showPercent val="0"/>
          <c:showBubbleSize val="0"/>
        </c:dLbls>
        <c:gapWidth val="219"/>
        <c:overlap val="-27"/>
        <c:axId val="1677931615"/>
        <c:axId val="1677935359"/>
      </c:barChart>
      <c:catAx>
        <c:axId val="16779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7935359"/>
        <c:crosses val="autoZero"/>
        <c:auto val="1"/>
        <c:lblAlgn val="ctr"/>
        <c:lblOffset val="100"/>
        <c:noMultiLvlLbl val="0"/>
      </c:catAx>
      <c:valAx>
        <c:axId val="1677935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779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D.ORDERED/PRICE</a:t>
            </a:r>
            <a:r>
              <a:rPr lang="en-US" baseline="0"/>
              <a:t> OF D.ORDERED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'INSIGHT 3'!$B$2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D3-4C93-AECD-AE4A150DFB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D3-4C93-AECD-AE4A150DFB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D3-4C93-AECD-AE4A150DFB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D3-4C93-AECD-AE4A150DFB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D3-4C93-AECD-AE4A150DFB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D3-4C93-AECD-AE4A150DFB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AD3-4C93-AECD-AE4A150DFB2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AD3-4C93-AECD-AE4A150DFB2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AD3-4C93-AECD-AE4A150DFB2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AD3-4C93-AECD-AE4A150DFB2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AD3-4C93-AECD-AE4A150DFB2C}"/>
              </c:ext>
            </c:extLst>
          </c:dPt>
          <c:cat>
            <c:strRef>
              <c:f>'INSIGHT 3'!$A$3:$A$4</c:f>
              <c:strCache>
                <c:ptCount val="1"/>
                <c:pt idx="0">
                  <c:v>Fries</c:v>
                </c:pt>
              </c:strCache>
            </c:strRef>
          </c:cat>
          <c:val>
            <c:numRef>
              <c:f>'INSIGHT 3'!$B$3:$B$4</c:f>
              <c:numCache>
                <c:formatCode>General</c:formatCode>
                <c:ptCount val="1"/>
                <c:pt idx="0">
                  <c:v>69</c:v>
                </c:pt>
              </c:numCache>
            </c:numRef>
          </c:val>
          <c:extLst>
            <c:ext xmlns:c16="http://schemas.microsoft.com/office/drawing/2014/chart" uri="{C3380CC4-5D6E-409C-BE32-E72D297353CC}">
              <c16:uniqueId val="{00000000-4F13-48A3-8B44-85912FA9FB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messy_restaurant_data.xlsx]INSIGHT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D.ORDER/D.PRICE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 2'!$B$2</c:f>
              <c:strCache>
                <c:ptCount val="1"/>
                <c:pt idx="0">
                  <c:v>Total</c:v>
                </c:pt>
              </c:strCache>
            </c:strRef>
          </c:tx>
          <c:spPr>
            <a:solidFill>
              <a:schemeClr val="accent1"/>
            </a:solidFill>
            <a:ln>
              <a:noFill/>
            </a:ln>
            <a:effectLst/>
          </c:spPr>
          <c:invertIfNegative val="0"/>
          <c:cat>
            <c:strRef>
              <c:f>'INSIGHT 2'!$A$3:$A$4</c:f>
              <c:strCache>
                <c:ptCount val="1"/>
                <c:pt idx="0">
                  <c:v>Fries</c:v>
                </c:pt>
              </c:strCache>
            </c:strRef>
          </c:cat>
          <c:val>
            <c:numRef>
              <c:f>'INSIGHT 2'!$B$3:$B$4</c:f>
              <c:numCache>
                <c:formatCode>General</c:formatCode>
                <c:ptCount val="1"/>
                <c:pt idx="0">
                  <c:v>69</c:v>
                </c:pt>
              </c:numCache>
            </c:numRef>
          </c:val>
          <c:extLst>
            <c:ext xmlns:c16="http://schemas.microsoft.com/office/drawing/2014/chart" uri="{C3380CC4-5D6E-409C-BE32-E72D297353CC}">
              <c16:uniqueId val="{00000000-21FE-43E1-BF54-89ED41732211}"/>
            </c:ext>
          </c:extLst>
        </c:ser>
        <c:dLbls>
          <c:showLegendKey val="0"/>
          <c:showVal val="0"/>
          <c:showCatName val="0"/>
          <c:showSerName val="0"/>
          <c:showPercent val="0"/>
          <c:showBubbleSize val="0"/>
        </c:dLbls>
        <c:gapWidth val="182"/>
        <c:axId val="1668866527"/>
        <c:axId val="1668869023"/>
      </c:barChart>
      <c:catAx>
        <c:axId val="166886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869023"/>
        <c:crosses val="autoZero"/>
        <c:auto val="1"/>
        <c:lblAlgn val="ctr"/>
        <c:lblOffset val="100"/>
        <c:noMultiLvlLbl val="0"/>
      </c:catAx>
      <c:valAx>
        <c:axId val="166886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6886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6!PivotTable17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OF DISH ORDERED BY RESTAUTRANT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'CHART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35-4866-A821-4C5500BA7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35-4866-A821-4C5500BA7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35-4866-A821-4C5500BA7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35-4866-A821-4C5500BA73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35-4866-A821-4C5500BA73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35-4866-A821-4C5500BA732B}"/>
              </c:ext>
            </c:extLst>
          </c:dPt>
          <c:cat>
            <c:strRef>
              <c:f>'CHART 6'!$A$5:$A$11</c:f>
              <c:strCache>
                <c:ptCount val="6"/>
                <c:pt idx="0">
                  <c:v>Burger King</c:v>
                </c:pt>
                <c:pt idx="1">
                  <c:v>Dominos</c:v>
                </c:pt>
                <c:pt idx="2">
                  <c:v>KFC</c:v>
                </c:pt>
                <c:pt idx="3">
                  <c:v>McDonalds</c:v>
                </c:pt>
                <c:pt idx="4">
                  <c:v>Not Specified</c:v>
                </c:pt>
                <c:pt idx="5">
                  <c:v>Subway</c:v>
                </c:pt>
              </c:strCache>
            </c:strRef>
          </c:cat>
          <c:val>
            <c:numRef>
              <c:f>'CHART 6'!$B$5:$B$11</c:f>
              <c:numCache>
                <c:formatCode>General</c:formatCode>
                <c:ptCount val="6"/>
                <c:pt idx="0">
                  <c:v>93</c:v>
                </c:pt>
                <c:pt idx="1">
                  <c:v>107</c:v>
                </c:pt>
                <c:pt idx="2">
                  <c:v>95</c:v>
                </c:pt>
                <c:pt idx="3">
                  <c:v>170</c:v>
                </c:pt>
                <c:pt idx="4">
                  <c:v>145</c:v>
                </c:pt>
                <c:pt idx="5">
                  <c:v>112</c:v>
                </c:pt>
              </c:numCache>
            </c:numRef>
          </c:val>
          <c:extLst>
            <c:ext xmlns:c16="http://schemas.microsoft.com/office/drawing/2014/chart" uri="{C3380CC4-5D6E-409C-BE32-E72D297353CC}">
              <c16:uniqueId val="{00000000-6FB9-4AA8-AD6B-E6A8D05F1B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5!PivotTable16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BASE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5'!$B$4</c:f>
              <c:strCache>
                <c:ptCount val="1"/>
                <c:pt idx="0">
                  <c:v>Total</c:v>
                </c:pt>
              </c:strCache>
            </c:strRef>
          </c:tx>
          <c:spPr>
            <a:solidFill>
              <a:schemeClr val="accent1"/>
            </a:solidFill>
            <a:ln>
              <a:noFill/>
            </a:ln>
            <a:effectLst/>
          </c:spPr>
          <c:invertIfNegative val="0"/>
          <c:cat>
            <c:strRef>
              <c:f>'CHART 5'!$A$5:$A$7</c:f>
              <c:strCache>
                <c:ptCount val="2"/>
                <c:pt idx="0">
                  <c:v>Jan</c:v>
                </c:pt>
                <c:pt idx="1">
                  <c:v>Feb</c:v>
                </c:pt>
              </c:strCache>
            </c:strRef>
          </c:cat>
          <c:val>
            <c:numRef>
              <c:f>'CHART 5'!$B$5:$B$7</c:f>
              <c:numCache>
                <c:formatCode>General</c:formatCode>
                <c:ptCount val="2"/>
                <c:pt idx="0">
                  <c:v>1740</c:v>
                </c:pt>
                <c:pt idx="1">
                  <c:v>440</c:v>
                </c:pt>
              </c:numCache>
            </c:numRef>
          </c:val>
          <c:extLst>
            <c:ext xmlns:c16="http://schemas.microsoft.com/office/drawing/2014/chart" uri="{C3380CC4-5D6E-409C-BE32-E72D297353CC}">
              <c16:uniqueId val="{00000000-92BD-4754-96F6-DECC8F34DF65}"/>
            </c:ext>
          </c:extLst>
        </c:ser>
        <c:dLbls>
          <c:showLegendKey val="0"/>
          <c:showVal val="0"/>
          <c:showCatName val="0"/>
          <c:showSerName val="0"/>
          <c:showPercent val="0"/>
          <c:showBubbleSize val="0"/>
        </c:dLbls>
        <c:gapWidth val="182"/>
        <c:axId val="2021495471"/>
        <c:axId val="2021499631"/>
      </c:barChart>
      <c:catAx>
        <c:axId val="202149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9631"/>
        <c:crosses val="autoZero"/>
        <c:auto val="1"/>
        <c:lblAlgn val="ctr"/>
        <c:lblOffset val="100"/>
        <c:noMultiLvlLbl val="0"/>
      </c:catAx>
      <c:valAx>
        <c:axId val="202149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4!PivotTable15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4'!$B$4</c:f>
              <c:strCache>
                <c:ptCount val="1"/>
                <c:pt idx="0">
                  <c:v>Total</c:v>
                </c:pt>
              </c:strCache>
            </c:strRef>
          </c:tx>
          <c:spPr>
            <a:solidFill>
              <a:schemeClr val="accent1"/>
            </a:solidFill>
            <a:ln>
              <a:noFill/>
            </a:ln>
            <a:effectLst/>
          </c:spPr>
          <c:invertIfNegative val="0"/>
          <c:cat>
            <c:strRef>
              <c:f>'CHART 4'!$A$5:$A$33</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Not Specified</c:v>
                </c:pt>
                <c:pt idx="24">
                  <c:v>Sarah Jones</c:v>
                </c:pt>
                <c:pt idx="25">
                  <c:v>Sarah Miller</c:v>
                </c:pt>
                <c:pt idx="26">
                  <c:v>Sarah Rodriguez</c:v>
                </c:pt>
                <c:pt idx="27">
                  <c:v>Sarah Williams</c:v>
                </c:pt>
              </c:strCache>
            </c:strRef>
          </c:cat>
          <c:val>
            <c:numRef>
              <c:f>'CHART 4'!$B$5:$B$33</c:f>
              <c:numCache>
                <c:formatCode>General</c:formatCode>
                <c:ptCount val="28"/>
                <c:pt idx="0">
                  <c:v>15</c:v>
                </c:pt>
                <c:pt idx="1">
                  <c:v>125</c:v>
                </c:pt>
                <c:pt idx="2">
                  <c:v>20</c:v>
                </c:pt>
                <c:pt idx="3">
                  <c:v>80</c:v>
                </c:pt>
                <c:pt idx="4">
                  <c:v>140</c:v>
                </c:pt>
                <c:pt idx="5">
                  <c:v>40</c:v>
                </c:pt>
                <c:pt idx="6">
                  <c:v>125</c:v>
                </c:pt>
                <c:pt idx="7">
                  <c:v>190</c:v>
                </c:pt>
                <c:pt idx="8">
                  <c:v>30</c:v>
                </c:pt>
                <c:pt idx="9">
                  <c:v>30</c:v>
                </c:pt>
                <c:pt idx="10">
                  <c:v>60</c:v>
                </c:pt>
                <c:pt idx="11">
                  <c:v>175</c:v>
                </c:pt>
                <c:pt idx="12">
                  <c:v>20</c:v>
                </c:pt>
                <c:pt idx="13">
                  <c:v>125</c:v>
                </c:pt>
                <c:pt idx="14">
                  <c:v>100</c:v>
                </c:pt>
                <c:pt idx="15">
                  <c:v>25</c:v>
                </c:pt>
                <c:pt idx="16">
                  <c:v>20</c:v>
                </c:pt>
                <c:pt idx="17">
                  <c:v>65</c:v>
                </c:pt>
                <c:pt idx="18">
                  <c:v>17</c:v>
                </c:pt>
                <c:pt idx="19">
                  <c:v>50</c:v>
                </c:pt>
                <c:pt idx="20">
                  <c:v>20</c:v>
                </c:pt>
                <c:pt idx="21">
                  <c:v>5</c:v>
                </c:pt>
                <c:pt idx="22">
                  <c:v>10</c:v>
                </c:pt>
                <c:pt idx="23">
                  <c:v>453</c:v>
                </c:pt>
                <c:pt idx="24">
                  <c:v>50</c:v>
                </c:pt>
                <c:pt idx="25">
                  <c:v>25</c:v>
                </c:pt>
                <c:pt idx="26">
                  <c:v>75</c:v>
                </c:pt>
                <c:pt idx="27">
                  <c:v>90</c:v>
                </c:pt>
              </c:numCache>
            </c:numRef>
          </c:val>
          <c:extLst>
            <c:ext xmlns:c16="http://schemas.microsoft.com/office/drawing/2014/chart" uri="{C3380CC4-5D6E-409C-BE32-E72D297353CC}">
              <c16:uniqueId val="{00000000-8FC4-4301-A756-7D78FDA900B3}"/>
            </c:ext>
          </c:extLst>
        </c:ser>
        <c:dLbls>
          <c:showLegendKey val="0"/>
          <c:showVal val="0"/>
          <c:showCatName val="0"/>
          <c:showSerName val="0"/>
          <c:showPercent val="0"/>
          <c:showBubbleSize val="0"/>
        </c:dLbls>
        <c:gapWidth val="219"/>
        <c:overlap val="-27"/>
        <c:axId val="494416575"/>
        <c:axId val="494412415"/>
      </c:barChart>
      <c:catAx>
        <c:axId val="4944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4412415"/>
        <c:crosses val="autoZero"/>
        <c:auto val="1"/>
        <c:lblAlgn val="ctr"/>
        <c:lblOffset val="100"/>
        <c:noMultiLvlLbl val="0"/>
      </c:catAx>
      <c:valAx>
        <c:axId val="49441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441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3!PivotTable14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 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6-4FD8-A795-91D4C21940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E6-4FD8-A795-91D4C21940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E6-4FD8-A795-91D4C21940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E6-4FD8-A795-91D4C21940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E6-4FD8-A795-91D4C21940C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E6-4FD8-A795-91D4C21940C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6E6-4FD8-A795-91D4C21940C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6E6-4FD8-A795-91D4C21940C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6E6-4FD8-A795-91D4C21940C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6E6-4FD8-A795-91D4C21940C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6E6-4FD8-A795-91D4C21940CD}"/>
              </c:ext>
            </c:extLst>
          </c:dPt>
          <c:cat>
            <c:strRef>
              <c:f>'CHART 3'!$A$5:$A$16</c:f>
              <c:strCache>
                <c:ptCount val="11"/>
                <c:pt idx="0">
                  <c:v>Burger</c:v>
                </c:pt>
                <c:pt idx="1">
                  <c:v>Fries</c:v>
                </c:pt>
                <c:pt idx="2">
                  <c:v>Not Specified</c:v>
                </c:pt>
                <c:pt idx="3">
                  <c:v>Nuggets</c:v>
                </c:pt>
                <c:pt idx="4">
                  <c:v>Pasta</c:v>
                </c:pt>
                <c:pt idx="5">
                  <c:v>Pizza</c:v>
                </c:pt>
                <c:pt idx="6">
                  <c:v>Salad</c:v>
                </c:pt>
                <c:pt idx="7">
                  <c:v>Sandwich</c:v>
                </c:pt>
                <c:pt idx="8">
                  <c:v>Sushi</c:v>
                </c:pt>
                <c:pt idx="9">
                  <c:v>Taco</c:v>
                </c:pt>
                <c:pt idx="10">
                  <c:v>Wrap</c:v>
                </c:pt>
              </c:strCache>
            </c:strRef>
          </c:cat>
          <c:val>
            <c:numRef>
              <c:f>'CHART 3'!$B$5:$B$16</c:f>
              <c:numCache>
                <c:formatCode>General</c:formatCode>
                <c:ptCount val="11"/>
                <c:pt idx="0">
                  <c:v>10</c:v>
                </c:pt>
                <c:pt idx="1">
                  <c:v>16</c:v>
                </c:pt>
                <c:pt idx="2">
                  <c:v>19</c:v>
                </c:pt>
                <c:pt idx="3">
                  <c:v>6</c:v>
                </c:pt>
                <c:pt idx="4">
                  <c:v>12</c:v>
                </c:pt>
                <c:pt idx="5">
                  <c:v>1</c:v>
                </c:pt>
                <c:pt idx="6">
                  <c:v>10</c:v>
                </c:pt>
                <c:pt idx="7">
                  <c:v>21</c:v>
                </c:pt>
                <c:pt idx="8">
                  <c:v>19</c:v>
                </c:pt>
                <c:pt idx="9">
                  <c:v>14</c:v>
                </c:pt>
                <c:pt idx="10">
                  <c:v>1</c:v>
                </c:pt>
              </c:numCache>
            </c:numRef>
          </c:val>
          <c:extLst>
            <c:ext xmlns:c16="http://schemas.microsoft.com/office/drawing/2014/chart" uri="{C3380CC4-5D6E-409C-BE32-E72D297353CC}">
              <c16:uniqueId val="{00000000-D969-4BD5-BF85-EC0B84CD63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2'!$B$2</c:f>
              <c:strCache>
                <c:ptCount val="1"/>
                <c:pt idx="0">
                  <c:v>Total</c:v>
                </c:pt>
              </c:strCache>
            </c:strRef>
          </c:tx>
          <c:spPr>
            <a:ln w="28575" cap="rnd">
              <a:solidFill>
                <a:schemeClr val="accent1"/>
              </a:solidFill>
              <a:round/>
            </a:ln>
            <a:effectLst/>
          </c:spPr>
          <c:marker>
            <c:symbol val="none"/>
          </c:marker>
          <c:cat>
            <c:strRef>
              <c:f>'CHART 2'!$A$3:$A$9</c:f>
              <c:strCache>
                <c:ptCount val="6"/>
                <c:pt idx="0">
                  <c:v>Burger King</c:v>
                </c:pt>
                <c:pt idx="1">
                  <c:v>Dominos</c:v>
                </c:pt>
                <c:pt idx="2">
                  <c:v>KFC</c:v>
                </c:pt>
                <c:pt idx="3">
                  <c:v>McDonalds</c:v>
                </c:pt>
                <c:pt idx="4">
                  <c:v>Not Specified</c:v>
                </c:pt>
                <c:pt idx="5">
                  <c:v>Subway</c:v>
                </c:pt>
              </c:strCache>
            </c:strRef>
          </c:cat>
          <c:val>
            <c:numRef>
              <c:f>'CHART 2'!$B$3:$B$9</c:f>
              <c:numCache>
                <c:formatCode>General</c:formatCode>
                <c:ptCount val="6"/>
                <c:pt idx="0">
                  <c:v>261</c:v>
                </c:pt>
                <c:pt idx="1">
                  <c:v>447</c:v>
                </c:pt>
                <c:pt idx="2">
                  <c:v>295</c:v>
                </c:pt>
                <c:pt idx="3">
                  <c:v>625</c:v>
                </c:pt>
                <c:pt idx="4">
                  <c:v>225</c:v>
                </c:pt>
                <c:pt idx="5">
                  <c:v>327</c:v>
                </c:pt>
              </c:numCache>
            </c:numRef>
          </c:val>
          <c:smooth val="0"/>
          <c:extLst>
            <c:ext xmlns:c16="http://schemas.microsoft.com/office/drawing/2014/chart" uri="{C3380CC4-5D6E-409C-BE32-E72D297353CC}">
              <c16:uniqueId val="{00000000-B099-472E-A252-67CB34778B4D}"/>
            </c:ext>
          </c:extLst>
        </c:ser>
        <c:dLbls>
          <c:showLegendKey val="0"/>
          <c:showVal val="0"/>
          <c:showCatName val="0"/>
          <c:showSerName val="0"/>
          <c:showPercent val="0"/>
          <c:showBubbleSize val="0"/>
        </c:dLbls>
        <c:smooth val="0"/>
        <c:axId val="2007421119"/>
        <c:axId val="2007421535"/>
      </c:lineChart>
      <c:catAx>
        <c:axId val="20074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7421535"/>
        <c:crosses val="autoZero"/>
        <c:auto val="1"/>
        <c:lblAlgn val="ctr"/>
        <c:lblOffset val="100"/>
        <c:noMultiLvlLbl val="0"/>
      </c:catAx>
      <c:valAx>
        <c:axId val="2007421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742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LEARNING CAPSTONE messy_restaurant_data.xlsx]CHART 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c:f>
              <c:strCache>
                <c:ptCount val="1"/>
                <c:pt idx="0">
                  <c:v>Total</c:v>
                </c:pt>
              </c:strCache>
            </c:strRef>
          </c:tx>
          <c:spPr>
            <a:solidFill>
              <a:schemeClr val="accent1"/>
            </a:solidFill>
            <a:ln>
              <a:noFill/>
            </a:ln>
            <a:effectLst/>
          </c:spPr>
          <c:invertIfNegative val="0"/>
          <c:cat>
            <c:strRef>
              <c:f>'CHART 1'!$A$4:$A$15</c:f>
              <c:strCache>
                <c:ptCount val="11"/>
                <c:pt idx="0">
                  <c:v>Burger</c:v>
                </c:pt>
                <c:pt idx="1">
                  <c:v>Fries</c:v>
                </c:pt>
                <c:pt idx="2">
                  <c:v>Not Specified</c:v>
                </c:pt>
                <c:pt idx="3">
                  <c:v>Nuggets</c:v>
                </c:pt>
                <c:pt idx="4">
                  <c:v>Pasta</c:v>
                </c:pt>
                <c:pt idx="5">
                  <c:v>Pizza</c:v>
                </c:pt>
                <c:pt idx="6">
                  <c:v>Salad</c:v>
                </c:pt>
                <c:pt idx="7">
                  <c:v>Sandwich</c:v>
                </c:pt>
                <c:pt idx="8">
                  <c:v>Sushi</c:v>
                </c:pt>
                <c:pt idx="9">
                  <c:v>Taco</c:v>
                </c:pt>
                <c:pt idx="10">
                  <c:v>Wrap</c:v>
                </c:pt>
              </c:strCache>
            </c:strRef>
          </c:cat>
          <c:val>
            <c:numRef>
              <c:f>'CHART 1'!$B$4:$B$15</c:f>
              <c:numCache>
                <c:formatCode>General</c:formatCode>
                <c:ptCount val="11"/>
                <c:pt idx="0">
                  <c:v>231</c:v>
                </c:pt>
                <c:pt idx="1">
                  <c:v>252</c:v>
                </c:pt>
                <c:pt idx="2">
                  <c:v>230</c:v>
                </c:pt>
                <c:pt idx="3">
                  <c:v>140</c:v>
                </c:pt>
                <c:pt idx="4">
                  <c:v>215</c:v>
                </c:pt>
                <c:pt idx="5">
                  <c:v>25</c:v>
                </c:pt>
                <c:pt idx="6">
                  <c:v>225</c:v>
                </c:pt>
                <c:pt idx="7">
                  <c:v>280</c:v>
                </c:pt>
                <c:pt idx="8">
                  <c:v>347</c:v>
                </c:pt>
                <c:pt idx="9">
                  <c:v>215</c:v>
                </c:pt>
                <c:pt idx="10">
                  <c:v>20</c:v>
                </c:pt>
              </c:numCache>
            </c:numRef>
          </c:val>
          <c:extLst>
            <c:ext xmlns:c16="http://schemas.microsoft.com/office/drawing/2014/chart" uri="{C3380CC4-5D6E-409C-BE32-E72D297353CC}">
              <c16:uniqueId val="{00000000-614A-4AD0-BA6E-09885F7D86F0}"/>
            </c:ext>
          </c:extLst>
        </c:ser>
        <c:dLbls>
          <c:showLegendKey val="0"/>
          <c:showVal val="0"/>
          <c:showCatName val="0"/>
          <c:showSerName val="0"/>
          <c:showPercent val="0"/>
          <c:showBubbleSize val="0"/>
        </c:dLbls>
        <c:gapWidth val="219"/>
        <c:overlap val="-27"/>
        <c:axId val="2021491311"/>
        <c:axId val="2021496303"/>
      </c:barChart>
      <c:catAx>
        <c:axId val="202149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6303"/>
        <c:crosses val="autoZero"/>
        <c:auto val="1"/>
        <c:lblAlgn val="ctr"/>
        <c:lblOffset val="100"/>
        <c:noMultiLvlLbl val="0"/>
      </c:catAx>
      <c:valAx>
        <c:axId val="202149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149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194162</xdr:colOff>
      <xdr:row>0</xdr:row>
      <xdr:rowOff>123093</xdr:rowOff>
    </xdr:from>
    <xdr:to>
      <xdr:col>4</xdr:col>
      <xdr:colOff>212508</xdr:colOff>
      <xdr:row>11</xdr:row>
      <xdr:rowOff>187593</xdr:rowOff>
    </xdr:to>
    <xdr:graphicFrame macro="">
      <xdr:nvGraphicFramePr>
        <xdr:cNvPr id="2" name="Chart 1">
          <a:extLst>
            <a:ext uri="{FF2B5EF4-FFF2-40B4-BE49-F238E27FC236}">
              <a16:creationId xmlns:a16="http://schemas.microsoft.com/office/drawing/2014/main" id="{5AB7C64D-1BAB-4A3D-8053-648A3D33E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14</xdr:row>
      <xdr:rowOff>40687</xdr:rowOff>
    </xdr:to>
    <xdr:graphicFrame macro="">
      <xdr:nvGraphicFramePr>
        <xdr:cNvPr id="2" name="Chart 1">
          <a:extLst>
            <a:ext uri="{FF2B5EF4-FFF2-40B4-BE49-F238E27FC236}">
              <a16:creationId xmlns:a16="http://schemas.microsoft.com/office/drawing/2014/main" id="{9BEC9B2B-BE3E-49E5-8D41-9876392C6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140492</xdr:colOff>
      <xdr:row>3</xdr:row>
      <xdr:rowOff>273844</xdr:rowOff>
    </xdr:from>
    <xdr:to>
      <xdr:col>4</xdr:col>
      <xdr:colOff>411617</xdr:colOff>
      <xdr:row>15</xdr:row>
      <xdr:rowOff>52594</xdr:rowOff>
    </xdr:to>
    <xdr:graphicFrame macro="">
      <xdr:nvGraphicFramePr>
        <xdr:cNvPr id="3" name="Chart 2">
          <a:extLst>
            <a:ext uri="{FF2B5EF4-FFF2-40B4-BE49-F238E27FC236}">
              <a16:creationId xmlns:a16="http://schemas.microsoft.com/office/drawing/2014/main" id="{D785A62A-7A18-42AC-8B54-F2740DE1F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71437</xdr:colOff>
      <xdr:row>3</xdr:row>
      <xdr:rowOff>273844</xdr:rowOff>
    </xdr:from>
    <xdr:to>
      <xdr:col>9</xdr:col>
      <xdr:colOff>342562</xdr:colOff>
      <xdr:row>15</xdr:row>
      <xdr:rowOff>52594</xdr:rowOff>
    </xdr:to>
    <xdr:graphicFrame macro="">
      <xdr:nvGraphicFramePr>
        <xdr:cNvPr id="5" name="Chart 4">
          <a:extLst>
            <a:ext uri="{FF2B5EF4-FFF2-40B4-BE49-F238E27FC236}">
              <a16:creationId xmlns:a16="http://schemas.microsoft.com/office/drawing/2014/main" id="{59D0FE43-0815-404C-995D-85B7F2556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11905</xdr:colOff>
      <xdr:row>3</xdr:row>
      <xdr:rowOff>273844</xdr:rowOff>
    </xdr:from>
    <xdr:to>
      <xdr:col>14</xdr:col>
      <xdr:colOff>283030</xdr:colOff>
      <xdr:row>15</xdr:row>
      <xdr:rowOff>52594</xdr:rowOff>
    </xdr:to>
    <xdr:graphicFrame macro="">
      <xdr:nvGraphicFramePr>
        <xdr:cNvPr id="7" name="Chart 6">
          <a:extLst>
            <a:ext uri="{FF2B5EF4-FFF2-40B4-BE49-F238E27FC236}">
              <a16:creationId xmlns:a16="http://schemas.microsoft.com/office/drawing/2014/main" id="{99E723F9-FBF4-41EF-AF67-D1B298592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142874</xdr:colOff>
      <xdr:row>16</xdr:row>
      <xdr:rowOff>226219</xdr:rowOff>
    </xdr:from>
    <xdr:to>
      <xdr:col>4</xdr:col>
      <xdr:colOff>413999</xdr:colOff>
      <xdr:row>28</xdr:row>
      <xdr:rowOff>4969</xdr:rowOff>
    </xdr:to>
    <xdr:graphicFrame macro="">
      <xdr:nvGraphicFramePr>
        <xdr:cNvPr id="9" name="Chart 8">
          <a:extLst>
            <a:ext uri="{FF2B5EF4-FFF2-40B4-BE49-F238E27FC236}">
              <a16:creationId xmlns:a16="http://schemas.microsoft.com/office/drawing/2014/main" id="{210259DD-888A-4253-9D43-6FE397AD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65484</xdr:colOff>
      <xdr:row>16</xdr:row>
      <xdr:rowOff>261938</xdr:rowOff>
    </xdr:from>
    <xdr:to>
      <xdr:col>9</xdr:col>
      <xdr:colOff>336609</xdr:colOff>
      <xdr:row>28</xdr:row>
      <xdr:rowOff>40688</xdr:rowOff>
    </xdr:to>
    <xdr:graphicFrame macro="">
      <xdr:nvGraphicFramePr>
        <xdr:cNvPr id="11" name="Chart 10">
          <a:extLst>
            <a:ext uri="{FF2B5EF4-FFF2-40B4-BE49-F238E27FC236}">
              <a16:creationId xmlns:a16="http://schemas.microsoft.com/office/drawing/2014/main" id="{77052710-3AF0-4A07-8D65-393BF8BF3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35718</xdr:colOff>
      <xdr:row>16</xdr:row>
      <xdr:rowOff>261938</xdr:rowOff>
    </xdr:from>
    <xdr:to>
      <xdr:col>14</xdr:col>
      <xdr:colOff>306843</xdr:colOff>
      <xdr:row>28</xdr:row>
      <xdr:rowOff>40688</xdr:rowOff>
    </xdr:to>
    <xdr:graphicFrame macro="">
      <xdr:nvGraphicFramePr>
        <xdr:cNvPr id="13" name="Chart 12">
          <a:extLst>
            <a:ext uri="{FF2B5EF4-FFF2-40B4-BE49-F238E27FC236}">
              <a16:creationId xmlns:a16="http://schemas.microsoft.com/office/drawing/2014/main" id="{F13A910E-D54E-44FE-9F49-5CDE28E4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0</xdr:row>
      <xdr:rowOff>47625</xdr:rowOff>
    </xdr:from>
    <xdr:to>
      <xdr:col>13</xdr:col>
      <xdr:colOff>95250</xdr:colOff>
      <xdr:row>2</xdr:row>
      <xdr:rowOff>11906</xdr:rowOff>
    </xdr:to>
    <xdr:sp macro="" textlink="">
      <xdr:nvSpPr>
        <xdr:cNvPr id="14" name="Rectangle: Rounded Corners 13">
          <a:extLst>
            <a:ext uri="{FF2B5EF4-FFF2-40B4-BE49-F238E27FC236}">
              <a16:creationId xmlns:a16="http://schemas.microsoft.com/office/drawing/2014/main" id="{F26B9E52-AA6B-4BB9-8531-7D73E8DF9261}"/>
            </a:ext>
          </a:extLst>
        </xdr:cNvPr>
        <xdr:cNvSpPr/>
      </xdr:nvSpPr>
      <xdr:spPr>
        <a:xfrm>
          <a:off x="47625" y="47625"/>
          <a:ext cx="7941469" cy="3452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FF0000"/>
              </a:solidFill>
              <a:latin typeface="Arial Rounded MT Bold" panose="020F0704030504030204" pitchFamily="34" charset="0"/>
            </a:rPr>
            <a:t>DATA</a:t>
          </a:r>
          <a:r>
            <a:rPr lang="en-US" sz="2000" b="1" baseline="0">
              <a:solidFill>
                <a:srgbClr val="FF0000"/>
              </a:solidFill>
              <a:latin typeface="Arial Rounded MT Bold" panose="020F0704030504030204" pitchFamily="34" charset="0"/>
            </a:rPr>
            <a:t> ANALYTICS</a:t>
          </a:r>
          <a:r>
            <a:rPr lang="en-US" sz="2000" b="1">
              <a:solidFill>
                <a:srgbClr val="FF0000"/>
              </a:solidFill>
              <a:latin typeface="Arial Rounded MT Bold" panose="020F0704030504030204" pitchFamily="34" charset="0"/>
            </a:rPr>
            <a:t> CAPSTONE PROJECT EXCEL DASHBOARD</a:t>
          </a:r>
          <a:endParaRPr lang="en-NG" sz="2000" b="1">
            <a:solidFill>
              <a:srgbClr val="FF0000"/>
            </a:solidFill>
            <a:latin typeface="Arial Rounded MT Bold" panose="020F0704030504030204" pitchFamily="34" charset="0"/>
          </a:endParaRPr>
        </a:p>
      </xdr:txBody>
    </xdr:sp>
    <xdr:clientData/>
  </xdr:twoCellAnchor>
  <xdr:twoCellAnchor editAs="oneCell">
    <xdr:from>
      <xdr:col>14</xdr:col>
      <xdr:colOff>414337</xdr:colOff>
      <xdr:row>13</xdr:row>
      <xdr:rowOff>176212</xdr:rowOff>
    </xdr:from>
    <xdr:to>
      <xdr:col>16</xdr:col>
      <xdr:colOff>583406</xdr:colOff>
      <xdr:row>26</xdr:row>
      <xdr:rowOff>128587</xdr:rowOff>
    </xdr:to>
    <mc:AlternateContent xmlns:mc="http://schemas.openxmlformats.org/markup-compatibility/2006" xmlns:a14="http://schemas.microsoft.com/office/drawing/2010/main">
      <mc:Choice Requires="a14">
        <xdr:graphicFrame macro="">
          <xdr:nvGraphicFramePr>
            <xdr:cNvPr id="15" name="Dish Ordered">
              <a:extLst>
                <a:ext uri="{FF2B5EF4-FFF2-40B4-BE49-F238E27FC236}">
                  <a16:creationId xmlns:a16="http://schemas.microsoft.com/office/drawing/2014/main" id="{5A26FBCF-3483-4CF7-B8BD-2049632F19B3}"/>
                </a:ext>
              </a:extLst>
            </xdr:cNvPr>
            <xdr:cNvGraphicFramePr/>
          </xdr:nvGraphicFramePr>
          <xdr:xfrm>
            <a:off x="0" y="0"/>
            <a:ext cx="0" cy="0"/>
          </xdr:xfrm>
          <a:graphic>
            <a:graphicData uri="http://schemas.microsoft.com/office/drawing/2010/slicer">
              <sle:slicer xmlns:sle="http://schemas.microsoft.com/office/drawing/2010/slicer" name="Dish Ordered"/>
            </a:graphicData>
          </a:graphic>
        </xdr:graphicFrame>
      </mc:Choice>
      <mc:Fallback xmlns="">
        <xdr:sp macro="" textlink="">
          <xdr:nvSpPr>
            <xdr:cNvPr id="0" name=""/>
            <xdr:cNvSpPr>
              <a:spLocks noTextEdit="1"/>
            </xdr:cNvSpPr>
          </xdr:nvSpPr>
          <xdr:spPr>
            <a:xfrm>
              <a:off x="8915400" y="2747962"/>
              <a:ext cx="1383506"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402431</xdr:colOff>
      <xdr:row>0</xdr:row>
      <xdr:rowOff>140494</xdr:rowOff>
    </xdr:from>
    <xdr:to>
      <xdr:col>16</xdr:col>
      <xdr:colOff>559594</xdr:colOff>
      <xdr:row>13</xdr:row>
      <xdr:rowOff>92869</xdr:rowOff>
    </xdr:to>
    <mc:AlternateContent xmlns:mc="http://schemas.openxmlformats.org/markup-compatibility/2006" xmlns:a14="http://schemas.microsoft.com/office/drawing/2010/main">
      <mc:Choice Requires="a14">
        <xdr:graphicFrame macro="">
          <xdr:nvGraphicFramePr>
            <xdr:cNvPr id="16" name="REVENUE">
              <a:extLst>
                <a:ext uri="{FF2B5EF4-FFF2-40B4-BE49-F238E27FC236}">
                  <a16:creationId xmlns:a16="http://schemas.microsoft.com/office/drawing/2014/main" id="{3183D092-4812-49F5-8907-20B45E254F8C}"/>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8903494" y="140494"/>
              <a:ext cx="13716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57151</xdr:colOff>
      <xdr:row>1</xdr:row>
      <xdr:rowOff>104774</xdr:rowOff>
    </xdr:from>
    <xdr:to>
      <xdr:col>19</xdr:col>
      <xdr:colOff>130970</xdr:colOff>
      <xdr:row>12</xdr:row>
      <xdr:rowOff>154781</xdr:rowOff>
    </xdr:to>
    <mc:AlternateContent xmlns:mc="http://schemas.openxmlformats.org/markup-compatibility/2006" xmlns:a14="http://schemas.microsoft.com/office/drawing/2010/main">
      <mc:Choice Requires="a14">
        <xdr:graphicFrame macro="">
          <xdr:nvGraphicFramePr>
            <xdr:cNvPr id="17" name="Restaurant">
              <a:extLst>
                <a:ext uri="{FF2B5EF4-FFF2-40B4-BE49-F238E27FC236}">
                  <a16:creationId xmlns:a16="http://schemas.microsoft.com/office/drawing/2014/main" id="{BA23AB10-D621-48CE-AA91-BE178405DF7F}"/>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0379870" y="295274"/>
              <a:ext cx="1288256" cy="224075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495299</xdr:colOff>
      <xdr:row>1</xdr:row>
      <xdr:rowOff>171450</xdr:rowOff>
    </xdr:from>
    <xdr:to>
      <xdr:col>10</xdr:col>
      <xdr:colOff>8099</xdr:colOff>
      <xdr:row>14</xdr:row>
      <xdr:rowOff>70950</xdr:rowOff>
    </xdr:to>
    <xdr:graphicFrame macro="">
      <xdr:nvGraphicFramePr>
        <xdr:cNvPr id="2" name="Chart 1">
          <a:extLst>
            <a:ext uri="{FF2B5EF4-FFF2-40B4-BE49-F238E27FC236}">
              <a16:creationId xmlns:a16="http://schemas.microsoft.com/office/drawing/2014/main" id="{1DA23057-8FEA-48E0-BF25-F3E05A7D4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14</xdr:row>
      <xdr:rowOff>40687</xdr:rowOff>
    </xdr:to>
    <xdr:graphicFrame macro="">
      <xdr:nvGraphicFramePr>
        <xdr:cNvPr id="2" name="Chart 1">
          <a:extLst>
            <a:ext uri="{FF2B5EF4-FFF2-40B4-BE49-F238E27FC236}">
              <a16:creationId xmlns:a16="http://schemas.microsoft.com/office/drawing/2014/main" id="{468370DD-2CBE-4003-A77B-8ECA863B6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15</xdr:row>
      <xdr:rowOff>30187</xdr:rowOff>
    </xdr:to>
    <xdr:graphicFrame macro="">
      <xdr:nvGraphicFramePr>
        <xdr:cNvPr id="2" name="Chart 1">
          <a:extLst>
            <a:ext uri="{FF2B5EF4-FFF2-40B4-BE49-F238E27FC236}">
              <a16:creationId xmlns:a16="http://schemas.microsoft.com/office/drawing/2014/main" id="{79DF6564-5CE5-42EB-A2D9-C3CD751EF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15</xdr:row>
      <xdr:rowOff>30187</xdr:rowOff>
    </xdr:to>
    <xdr:graphicFrame macro="">
      <xdr:nvGraphicFramePr>
        <xdr:cNvPr id="2" name="Chart 1">
          <a:extLst>
            <a:ext uri="{FF2B5EF4-FFF2-40B4-BE49-F238E27FC236}">
              <a16:creationId xmlns:a16="http://schemas.microsoft.com/office/drawing/2014/main" id="{087200BD-CB8D-4BFE-9EE3-12EC1DE76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14</xdr:row>
      <xdr:rowOff>40687</xdr:rowOff>
    </xdr:to>
    <xdr:graphicFrame macro="">
      <xdr:nvGraphicFramePr>
        <xdr:cNvPr id="2" name="Chart 1">
          <a:extLst>
            <a:ext uri="{FF2B5EF4-FFF2-40B4-BE49-F238E27FC236}">
              <a16:creationId xmlns:a16="http://schemas.microsoft.com/office/drawing/2014/main" id="{6FF50211-941E-48D0-B9FE-0D818F9C2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14</xdr:row>
      <xdr:rowOff>40687</xdr:rowOff>
    </xdr:to>
    <xdr:graphicFrame macro="">
      <xdr:nvGraphicFramePr>
        <xdr:cNvPr id="2" name="Chart 1">
          <a:extLst>
            <a:ext uri="{FF2B5EF4-FFF2-40B4-BE49-F238E27FC236}">
              <a16:creationId xmlns:a16="http://schemas.microsoft.com/office/drawing/2014/main" id="{CD28D098-C0E5-46B6-8AAF-98F32FDA3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495300</xdr:colOff>
      <xdr:row>2</xdr:row>
      <xdr:rowOff>166687</xdr:rowOff>
    </xdr:from>
    <xdr:to>
      <xdr:col>8</xdr:col>
      <xdr:colOff>147300</xdr:colOff>
      <xdr:row>14</xdr:row>
      <xdr:rowOff>40687</xdr:rowOff>
    </xdr:to>
    <xdr:graphicFrame macro="">
      <xdr:nvGraphicFramePr>
        <xdr:cNvPr id="2" name="Chart 1">
          <a:extLst>
            <a:ext uri="{FF2B5EF4-FFF2-40B4-BE49-F238E27FC236}">
              <a16:creationId xmlns:a16="http://schemas.microsoft.com/office/drawing/2014/main" id="{01071094-CF55-4DCD-879A-163E276BD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495299</xdr:colOff>
      <xdr:row>5</xdr:row>
      <xdr:rowOff>114299</xdr:rowOff>
    </xdr:from>
    <xdr:to>
      <xdr:col>8</xdr:col>
      <xdr:colOff>147299</xdr:colOff>
      <xdr:row>16</xdr:row>
      <xdr:rowOff>178799</xdr:rowOff>
    </xdr:to>
    <xdr:graphicFrame macro="">
      <xdr:nvGraphicFramePr>
        <xdr:cNvPr id="2" name="Chart 1">
          <a:extLst>
            <a:ext uri="{FF2B5EF4-FFF2-40B4-BE49-F238E27FC236}">
              <a16:creationId xmlns:a16="http://schemas.microsoft.com/office/drawing/2014/main" id="{44FAD1A0-46F8-40EE-9F9F-7F6D4FCF6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304801</xdr:colOff>
      <xdr:row>5</xdr:row>
      <xdr:rowOff>190498</xdr:rowOff>
    </xdr:from>
    <xdr:to>
      <xdr:col>7</xdr:col>
      <xdr:colOff>566401</xdr:colOff>
      <xdr:row>17</xdr:row>
      <xdr:rowOff>64498</xdr:rowOff>
    </xdr:to>
    <xdr:graphicFrame macro="">
      <xdr:nvGraphicFramePr>
        <xdr:cNvPr id="2" name="Chart 1">
          <a:extLst>
            <a:ext uri="{FF2B5EF4-FFF2-40B4-BE49-F238E27FC236}">
              <a16:creationId xmlns:a16="http://schemas.microsoft.com/office/drawing/2014/main" id="{CA7ADFCB-45E4-4AB1-AFAF-8554B9A5F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304800</xdr:colOff>
      <xdr:row>2</xdr:row>
      <xdr:rowOff>166687</xdr:rowOff>
    </xdr:from>
    <xdr:to>
      <xdr:col>7</xdr:col>
      <xdr:colOff>566400</xdr:colOff>
      <xdr:row>14</xdr:row>
      <xdr:rowOff>40687</xdr:rowOff>
    </xdr:to>
    <xdr:graphicFrame macro="">
      <xdr:nvGraphicFramePr>
        <xdr:cNvPr id="2" name="Chart 1">
          <a:extLst>
            <a:ext uri="{FF2B5EF4-FFF2-40B4-BE49-F238E27FC236}">
              <a16:creationId xmlns:a16="http://schemas.microsoft.com/office/drawing/2014/main" id="{76D2DE32-7407-41A0-94F9-2DDB600DA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104775</xdr:colOff>
      <xdr:row>4</xdr:row>
      <xdr:rowOff>28575</xdr:rowOff>
    </xdr:from>
    <xdr:to>
      <xdr:col>8</xdr:col>
      <xdr:colOff>366375</xdr:colOff>
      <xdr:row>15</xdr:row>
      <xdr:rowOff>93075</xdr:rowOff>
    </xdr:to>
    <xdr:graphicFrame macro="">
      <xdr:nvGraphicFramePr>
        <xdr:cNvPr id="2" name="Chart 1">
          <a:extLst>
            <a:ext uri="{FF2B5EF4-FFF2-40B4-BE49-F238E27FC236}">
              <a16:creationId xmlns:a16="http://schemas.microsoft.com/office/drawing/2014/main" id="{D74E7A37-1097-4B27-9441-1256F05AD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athy Eke" refreshedDate="46157.532044791667" createdVersion="7" refreshedVersion="7" minRefreshableVersion="3" recordCount="45" xr:uid="{A402578C-E103-44C3-809A-DA7F1141ED74}">
  <cacheSource type="worksheet">
    <worksheetSource name="Table1"/>
  </cacheSource>
  <cacheFields count="9">
    <cacheField name="Customer " numFmtId="0">
      <sharedItems count="28">
        <s v="Chris Smith"/>
        <s v="Sarah Rodriguez"/>
        <s v="Not Specified"/>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acheField>
    <cacheField name="Dish Ordered" numFmtId="0">
      <sharedItems count="11">
        <s v="Sushi"/>
        <s v="Pasta"/>
        <s v="Not Specified"/>
        <s v="Fries"/>
        <s v="Nuggets"/>
        <s v="Taco"/>
        <s v="Salad"/>
        <s v="Sandwich"/>
        <s v="Burger"/>
        <s v="Pizza"/>
        <s v="Wrap"/>
      </sharedItems>
    </cacheField>
    <cacheField name="Rating" numFmtId="0">
      <sharedItems containsSemiMixedTypes="0" containsString="0" containsNumber="1" containsInteger="1" minValue="1" maxValue="5"/>
    </cacheField>
    <cacheField name="Date of Visit" numFmtId="14">
      <sharedItems containsSemiMixedTypes="0" containsNonDate="0" containsDate="1" containsString="0" minDate="2023-01-01T00:00:00" maxDate="2023-02-05T00:00:00" count="31">
        <d v="2023-01-21T00:00:00"/>
        <d v="2023-01-22T00:00:00"/>
        <d v="2023-01-24T00:00:00"/>
        <d v="2023-02-03T00:00:00"/>
        <d v="2023-01-14T00:00:00"/>
        <d v="2023-02-04T00:00:00"/>
        <d v="2023-02-01T00:00:00"/>
        <d v="2023-01-31T00:00:00"/>
        <d v="2023-01-15T00:00:00"/>
        <d v="2023-01-18T00:00:00"/>
        <d v="2023-01-03T00:00:00"/>
        <d v="2023-01-26T00:00:00"/>
        <d v="2023-01-25T00:00:00"/>
        <d v="2023-02-02T00:00:00"/>
        <d v="2023-01-23T00:00:00"/>
        <d v="2023-01-04T00:00:00"/>
        <d v="2023-01-08T00:00:00"/>
        <d v="2023-01-20T00:00:00"/>
        <d v="2023-01-01T00:00:00"/>
        <d v="2023-01-19T00:00:00"/>
        <d v="2023-01-16T00:00:00"/>
        <d v="2023-01-29T00:00:00"/>
        <d v="2023-01-05T00:00:00"/>
        <d v="2023-01-02T00:00:00"/>
        <d v="2023-01-27T00:00:00"/>
        <d v="2023-01-13T00:00:00"/>
        <d v="2023-01-07T00:00:00"/>
        <d v="2023-01-17T00:00:00"/>
        <d v="2023-01-10T00:00:00"/>
        <d v="2023-01-09T00:00:00"/>
        <d v="2023-01-12T00:00:00"/>
      </sharedItems>
      <fieldGroup par="8" base="4">
        <rangePr groupBy="days" startDate="2023-01-01T00:00:00" endDate="2023-02-05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2/2023"/>
        </groupItems>
      </fieldGroup>
    </cacheField>
    <cacheField name="Feedback" numFmtId="0">
      <sharedItems/>
    </cacheField>
    <cacheField name="Price of Dish Ordered" numFmtId="0">
      <sharedItems containsSemiMixedTypes="0" containsString="0" containsNumber="1" containsInteger="1" minValue="5" maxValue="25"/>
    </cacheField>
    <cacheField name="Quantity" numFmtId="0">
      <sharedItems containsSemiMixedTypes="0" containsString="0" containsNumber="1" containsInteger="1" minValue="1" maxValue="5" count="5">
        <n v="4"/>
        <n v="3"/>
        <n v="1"/>
        <n v="5"/>
        <n v="2"/>
      </sharedItems>
    </cacheField>
    <cacheField name="Months" numFmtId="0" databaseField="0">
      <fieldGroup base="4">
        <rangePr groupBy="months" startDate="2023-01-01T00:00:00" endDate="2023-02-05T00:00:00"/>
        <groupItems count="14">
          <s v="&lt;01/01/2023"/>
          <s v="Jan"/>
          <s v="Feb"/>
          <s v="Mar"/>
          <s v="Apr"/>
          <s v="May"/>
          <s v="Jun"/>
          <s v="Jul"/>
          <s v="Aug"/>
          <s v="Sept"/>
          <s v="Oct"/>
          <s v="Nov"/>
          <s v="Dec"/>
          <s v="&gt;05/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athy Eke" refreshedDate="46159.755705787036" createdVersion="7" refreshedVersion="7" minRefreshableVersion="3" recordCount="45" xr:uid="{698FD31B-0192-45A4-8C39-37CA887ED085}">
  <cacheSource type="worksheet">
    <worksheetSource name="Table5"/>
  </cacheSource>
  <cacheFields count="8">
    <cacheField name="Customer " numFmtId="0">
      <sharedItems count="28">
        <s v="Chris Smith"/>
        <s v="Sarah Rodriguez"/>
        <s v="Not Specified"/>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ount="6">
        <s v="McDonalds"/>
        <s v="Burger King"/>
        <s v="Not Specified"/>
        <s v="Dominos"/>
        <s v="Subway"/>
        <s v="KFC"/>
      </sharedItems>
    </cacheField>
    <cacheField name="Dish Ordered" numFmtId="0">
      <sharedItems count="11">
        <s v="Sushi"/>
        <s v="Pasta"/>
        <s v="Not Specified"/>
        <s v="Fries"/>
        <s v="Nuggets"/>
        <s v="Taco"/>
        <s v="Salad"/>
        <s v="Sandwich"/>
        <s v="Burger"/>
        <s v="Pizza"/>
        <s v="Wrap"/>
      </sharedItems>
    </cacheField>
    <cacheField name="Rating" numFmtId="0">
      <sharedItems containsSemiMixedTypes="0" containsString="0" containsNumber="1" containsInteger="1" minValue="1" maxValue="5" count="5">
        <n v="2"/>
        <n v="1"/>
        <n v="4"/>
        <n v="5"/>
        <n v="3"/>
      </sharedItems>
    </cacheField>
    <cacheField name="Date of Visit" numFmtId="14">
      <sharedItems containsSemiMixedTypes="0" containsNonDate="0" containsDate="1" containsString="0" minDate="2023-01-01T00:00:00" maxDate="2023-02-05T00:00:00" count="31">
        <d v="2023-01-21T00:00:00"/>
        <d v="2023-01-22T00:00:00"/>
        <d v="2023-01-24T00:00:00"/>
        <d v="2023-02-03T00:00:00"/>
        <d v="2023-01-14T00:00:00"/>
        <d v="2023-02-04T00:00:00"/>
        <d v="2023-02-01T00:00:00"/>
        <d v="2023-01-31T00:00:00"/>
        <d v="2023-01-15T00:00:00"/>
        <d v="2023-01-18T00:00:00"/>
        <d v="2023-01-03T00:00:00"/>
        <d v="2023-01-26T00:00:00"/>
        <d v="2023-01-25T00:00:00"/>
        <d v="2023-02-02T00:00:00"/>
        <d v="2023-01-23T00:00:00"/>
        <d v="2023-01-04T00:00:00"/>
        <d v="2023-01-08T00:00:00"/>
        <d v="2023-01-20T00:00:00"/>
        <d v="2023-01-01T00:00:00"/>
        <d v="2023-01-19T00:00:00"/>
        <d v="2023-01-16T00:00:00"/>
        <d v="2023-01-29T00:00:00"/>
        <d v="2023-01-05T00:00:00"/>
        <d v="2023-01-02T00:00:00"/>
        <d v="2023-01-27T00:00:00"/>
        <d v="2023-01-13T00:00:00"/>
        <d v="2023-01-07T00:00:00"/>
        <d v="2023-01-17T00:00:00"/>
        <d v="2023-01-10T00:00:00"/>
        <d v="2023-01-09T00:00:00"/>
        <d v="2023-01-12T00:00:00"/>
      </sharedItems>
    </cacheField>
    <cacheField name="Feedback" numFmtId="0">
      <sharedItems count="1">
        <s v="Good service"/>
      </sharedItems>
    </cacheField>
    <cacheField name="Price of Dish Ordered" numFmtId="0">
      <sharedItems containsSemiMixedTypes="0" containsString="0" containsNumber="1" containsInteger="1" minValue="5" maxValue="25" count="9">
        <n v="5"/>
        <n v="20"/>
        <n v="25"/>
        <n v="10"/>
        <n v="15"/>
        <n v="17"/>
        <n v="13"/>
        <n v="23"/>
        <n v="14"/>
      </sharedItems>
    </cacheField>
    <cacheField name="Quantity" numFmtId="0">
      <sharedItems containsSemiMixedTypes="0" containsString="0" containsNumber="1" containsInteger="1" minValue="1" maxValue="5" count="5">
        <n v="4"/>
        <n v="3"/>
        <n v="1"/>
        <n v="5"/>
        <n v="2"/>
      </sharedItems>
    </cacheField>
  </cacheFields>
  <extLst>
    <ext xmlns:x14="http://schemas.microsoft.com/office/spreadsheetml/2009/9/main" uri="{725AE2AE-9491-48be-B2B4-4EB974FC3084}">
      <x14:pivotCacheDefinition pivotCacheId="5019124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15681018519" backgroundQuery="1" createdVersion="7" refreshedVersion="7" minRefreshableVersion="3" recordCount="0" supportSubquery="1" supportAdvancedDrill="1" xr:uid="{C9CECE81-8BB0-4C8B-84B4-6307F2A978B2}">
  <cacheSource type="external" connectionId="1"/>
  <cacheFields count="3">
    <cacheField name="[Measures].[Sum of REVENUE]" caption="Sum of REVENUE" numFmtId="0" hierarchy="13" level="32767"/>
    <cacheField name="[Table1].[Date of Visit].[Date of Visit]" caption="Date of Visit" numFmtId="0" hierarchy="4" level="1">
      <sharedItems containsSemiMixedTypes="0" containsNonDate="0" containsDate="1" containsString="0" minDate="2023-01-01T00:00:00" maxDate="2023-02-05T00:00:00" count="31">
        <d v="2023-01-01T00:00:00"/>
        <d v="2023-01-02T00:00:00"/>
        <d v="2023-01-03T00:00:00"/>
        <d v="2023-01-04T00:00:00"/>
        <d v="2023-01-05T00:00:00"/>
        <d v="2023-01-07T00:00:00"/>
        <d v="2023-01-08T00:00:00"/>
        <d v="2023-01-09T00:00:00"/>
        <d v="2023-01-10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9T00:00:00"/>
        <d v="2023-01-31T00:00:00"/>
        <d v="2023-02-01T00:00:00"/>
        <d v="2023-02-02T00:00:00"/>
        <d v="2023-02-03T00:00:00"/>
        <d v="2023-02-04T00:00:00"/>
      </sharedItems>
    </cacheField>
    <cacheField name="[Table1].[Date of Visit (Month)].[Date of Visit (Month)]" caption="Date of Visit (Month)" numFmtId="0" hierarchy="9" level="1">
      <sharedItems count="2">
        <s v="Jan"/>
        <s v="Feb"/>
      </sharedItems>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2" memberValueDatatype="7" unbalanced="0">
      <fieldsUsage count="2">
        <fieldUsage x="-1"/>
        <fieldUsage x="1"/>
      </fieldsUsage>
    </cacheHierarchy>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2" memberValueDatatype="130" unbalanced="0">
      <fieldsUsage count="2">
        <fieldUsage x="-1"/>
        <fieldUsage x="2"/>
      </fieldsUsage>
    </cacheHierarchy>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15675925923" backgroundQuery="1" createdVersion="7" refreshedVersion="7" minRefreshableVersion="3" recordCount="0" supportSubquery="1" supportAdvancedDrill="1" xr:uid="{E3A505E2-8F9E-46DE-AE96-16AD0E77EB37}">
  <cacheSource type="external" connectionId="1"/>
  <cacheFields count="2">
    <cacheField name="[Table1].[Customer].[Customer]" caption="Customer" numFmtId="0" level="1">
      <sharedItems count="28">
        <s v="Alex Davis"/>
        <s v="Alex Smith"/>
        <s v="Chris Smith"/>
        <s v="Chris Williams"/>
        <s v="Emily Garcia"/>
        <s v="Emily Johnson"/>
        <s v="Emily Miller"/>
        <s v="James Brown"/>
        <s v="James Garcia"/>
        <s v="James Jones"/>
        <s v="James Martinez"/>
        <s v="James Rodriguez"/>
        <s v="Jane Brown"/>
        <s v="Jane Garcia"/>
        <s v="Jane Martinez"/>
        <s v="Jane Miller"/>
        <s v="Katie Johnson"/>
        <s v="Katie Jones"/>
        <s v="Katie Martinez"/>
        <s v="Laura Jones"/>
        <s v="Laura Williams"/>
        <s v="Michael Johnson"/>
        <s v="Michael Williams"/>
        <s v="Not Specified"/>
        <s v="Sarah Jones"/>
        <s v="Sarah Miller"/>
        <s v="Sarah Rodriguez"/>
        <s v="Sarah Williams"/>
      </sharedItems>
    </cacheField>
    <cacheField name="[Measures].[Sum of REVENUE]" caption="Sum of REVENUE" numFmtId="0" hierarchy="13" level="32767"/>
  </cacheFields>
  <cacheHierarchies count="16">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15677083332" backgroundQuery="1" createdVersion="7" refreshedVersion="7" minRefreshableVersion="3" recordCount="0" supportSubquery="1" supportAdvancedDrill="1" xr:uid="{660805AB-AE74-4F06-B49B-1B0A7B246D84}">
  <cacheSource type="external" connectionId="1"/>
  <cacheFields count="2">
    <cacheField name="[Table1].[Dish Ordered].[Dish Ordered]" caption="Dish Ordered" numFmtId="0" hierarchy="2" level="1">
      <sharedItems count="11">
        <s v="Burger"/>
        <s v="Fries"/>
        <s v="Not Specified"/>
        <s v="Nuggets"/>
        <s v="Pasta"/>
        <s v="Pizza"/>
        <s v="Salad"/>
        <s v="Sandwich"/>
        <s v="Sushi"/>
        <s v="Taco"/>
        <s v="Wrap"/>
      </sharedItems>
    </cacheField>
    <cacheField name="[Measures].[Sum of Quantity]" caption="Sum of Quantity" numFmtId="0" hierarchy="14" level="32767"/>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2" memberValueDatatype="130"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15679629633" backgroundQuery="1" createdVersion="7" refreshedVersion="7" minRefreshableVersion="3" recordCount="0" supportSubquery="1" supportAdvancedDrill="1" xr:uid="{A5671437-CE18-4825-BCD7-7FAA4A24DB45}">
  <cacheSource type="external" connectionId="1"/>
  <cacheFields count="2">
    <cacheField name="[Measures].[Sum of REVENUE]" caption="Sum of REVENUE" numFmtId="0" hierarchy="13" level="32767"/>
    <cacheField name="[Table1].[Restaurant].[Restaurant]" caption="Restaurant" numFmtId="0" hierarchy="1" level="1">
      <sharedItems count="6">
        <s v="Burger King"/>
        <s v="Dominos"/>
        <s v="KFC"/>
        <s v="McDonalds"/>
        <s v="Not Specified"/>
        <s v="Subway"/>
      </sharedItems>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2" memberValueDatatype="130" unbalanced="0">
      <fieldsUsage count="2">
        <fieldUsage x="-1"/>
        <fieldUsage x="1"/>
      </fieldsUsage>
    </cacheHierarchy>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15678472225" backgroundQuery="1" createdVersion="7" refreshedVersion="7" minRefreshableVersion="3" recordCount="0" supportSubquery="1" supportAdvancedDrill="1" xr:uid="{C5FD8900-DAF5-4A21-BF9D-4CD636D79A37}">
  <cacheSource type="external" connectionId="1"/>
  <cacheFields count="2">
    <cacheField name="[Table1].[Dish Ordered].[Dish Ordered]" caption="Dish Ordered" numFmtId="0" hierarchy="2" level="1">
      <sharedItems count="11">
        <s v="Burger"/>
        <s v="Fries"/>
        <s v="Not Specified"/>
        <s v="Nuggets"/>
        <s v="Pasta"/>
        <s v="Pizza"/>
        <s v="Salad"/>
        <s v="Sandwich"/>
        <s v="Sushi"/>
        <s v="Taco"/>
        <s v="Wrap"/>
      </sharedItems>
    </cacheField>
    <cacheField name="[Measures].[Sum of REVENUE]" caption="Sum of REVENUE" numFmtId="0" hierarchy="13" level="32767"/>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2" memberValueDatatype="130"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47872453707" backgroundQuery="1" createdVersion="7" refreshedVersion="7" minRefreshableVersion="3" recordCount="0" supportSubquery="1" supportAdvancedDrill="1" xr:uid="{BC2B36F0-6709-427D-BC42-3F39E86B570D}">
  <cacheSource type="external" connectionId="1"/>
  <cacheFields count="2">
    <cacheField name="[Table1].[Restaurant].[Restaurant]" caption="Restaurant" numFmtId="0" hierarchy="1" level="1">
      <sharedItems count="6">
        <s v="Burger King"/>
        <s v="Dominos"/>
        <s v="KFC"/>
        <s v="McDonalds"/>
        <s v="Not Specified"/>
        <s v="Subway"/>
      </sharedItems>
    </cacheField>
    <cacheField name="[Measures].[Sum of Price of Dish Ordered]" caption="Sum of Price of Dish Ordered" numFmtId="0" hierarchy="15" level="32767"/>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2" memberValueDatatype="130" unbalanced="0">
      <fieldsUsage count="2">
        <fieldUsage x="-1"/>
        <fieldUsage x="0"/>
      </fieldsUsage>
    </cacheHierarchy>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27893518" backgroundQuery="1" createdVersion="7" refreshedVersion="7" minRefreshableVersion="3" recordCount="0" supportSubquery="1" supportAdvancedDrill="1" xr:uid="{0583AB36-66CC-4608-A835-F8CF9DA47952}">
  <cacheSource type="external" connectionId="1"/>
  <cacheFields count="3">
    <cacheField name="[Table1].[Dish Ordered].[Dish Ordered]" caption="Dish Ordered" numFmtId="0" hierarchy="2" level="1">
      <sharedItems count="11">
        <s v="Burger"/>
        <s v="Fries"/>
        <s v="Not Specified"/>
        <s v="Nuggets"/>
        <s v="Pasta"/>
        <s v="Pizza"/>
        <s v="Salad"/>
        <s v="Sandwich"/>
        <s v="Sushi"/>
        <s v="Taco"/>
        <s v="Wrap"/>
      </sharedItems>
    </cacheField>
    <cacheField name="[Measures].[Sum of REVENUE]" caption="Sum of REVENUE" numFmtId="0" hierarchy="13" level="32767"/>
    <cacheField name="[Table1].[REVENUE].[REVENUE]" caption="REVENUE" numFmtId="0" hierarchy="8" level="1">
      <sharedItems containsSemiMixedTypes="0" containsNonDate="0" containsString="0"/>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2" memberValueDatatype="130"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fieldsUsage count="2">
        <fieldUsage x="-1"/>
        <fieldUsage x="2"/>
      </fieldsUsage>
    </cacheHierarchy>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28472219" backgroundQuery="1" createdVersion="7" refreshedVersion="7" minRefreshableVersion="3" recordCount="0" supportSubquery="1" supportAdvancedDrill="1" xr:uid="{29A5D620-FF60-4312-BFAE-486D97D11915}">
  <cacheSource type="external" connectionId="1"/>
  <cacheFields count="3">
    <cacheField name="[Measures].[Sum of REVENUE]" caption="Sum of REVENUE" numFmtId="0" hierarchy="13" level="32767"/>
    <cacheField name="[Table1].[Restaurant].[Restaurant]" caption="Restaurant" numFmtId="0" hierarchy="1" level="1">
      <sharedItems count="6">
        <s v="Burger King"/>
        <s v="Dominos"/>
        <s v="KFC"/>
        <s v="McDonalds"/>
        <s v="Not Specified"/>
        <s v="Subway"/>
      </sharedItems>
    </cacheField>
    <cacheField name="[Table1].[REVENUE].[REVENUE]" caption="REVENUE" numFmtId="0" hierarchy="8" level="1">
      <sharedItems containsSemiMixedTypes="0" containsNonDate="0" containsString="0"/>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2" memberValueDatatype="130" unbalanced="0">
      <fieldsUsage count="2">
        <fieldUsage x="-1"/>
        <fieldUsage x="1"/>
      </fieldsUsage>
    </cacheHierarchy>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fieldsUsage count="2">
        <fieldUsage x="-1"/>
        <fieldUsage x="2"/>
      </fieldsUsage>
    </cacheHierarchy>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28819442" backgroundQuery="1" createdVersion="7" refreshedVersion="7" minRefreshableVersion="3" recordCount="0" supportSubquery="1" supportAdvancedDrill="1" xr:uid="{00921A20-4BEF-4DDA-AF8B-AF4A9328C3EC}">
  <cacheSource type="external" connectionId="1"/>
  <cacheFields count="3">
    <cacheField name="[Table1].[Dish Ordered].[Dish Ordered]" caption="Dish Ordered" numFmtId="0" hierarchy="2" level="1">
      <sharedItems count="11">
        <s v="Burger"/>
        <s v="Fries"/>
        <s v="Not Specified"/>
        <s v="Nuggets"/>
        <s v="Pasta"/>
        <s v="Pizza"/>
        <s v="Salad"/>
        <s v="Sandwich"/>
        <s v="Sushi"/>
        <s v="Taco"/>
        <s v="Wrap"/>
      </sharedItems>
    </cacheField>
    <cacheField name="[Measures].[Sum of Quantity]" caption="Sum of Quantity" numFmtId="0" hierarchy="14" level="32767"/>
    <cacheField name="[Table1].[REVENUE].[REVENUE]" caption="REVENUE" numFmtId="0" hierarchy="8" level="1">
      <sharedItems containsSemiMixedTypes="0" containsNonDate="0" containsString="0"/>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2" memberValueDatatype="130"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fieldsUsage count="2">
        <fieldUsage x="-1"/>
        <fieldUsage x="2"/>
      </fieldsUsage>
    </cacheHierarchy>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29513889" backgroundQuery="1" createdVersion="7" refreshedVersion="7" minRefreshableVersion="3" recordCount="0" supportSubquery="1" supportAdvancedDrill="1" xr:uid="{014AE1BE-7219-4C9C-8116-428510132F80}">
  <cacheSource type="external" connectionId="1"/>
  <cacheFields count="3">
    <cacheField name="[Table1].[Customer].[Customer]" caption="Customer" numFmtId="0" level="1">
      <sharedItems count="28">
        <s v="Alex Davis"/>
        <s v="Alex Smith"/>
        <s v="Chris Smith"/>
        <s v="Chris Williams"/>
        <s v="Emily Garcia"/>
        <s v="Emily Johnson"/>
        <s v="Emily Miller"/>
        <s v="James Brown"/>
        <s v="James Garcia"/>
        <s v="James Jones"/>
        <s v="James Martinez"/>
        <s v="James Rodriguez"/>
        <s v="Jane Brown"/>
        <s v="Jane Garcia"/>
        <s v="Jane Martinez"/>
        <s v="Jane Miller"/>
        <s v="Katie Johnson"/>
        <s v="Katie Jones"/>
        <s v="Katie Martinez"/>
        <s v="Laura Jones"/>
        <s v="Laura Williams"/>
        <s v="Michael Johnson"/>
        <s v="Michael Williams"/>
        <s v="Not Specified"/>
        <s v="Sarah Jones"/>
        <s v="Sarah Miller"/>
        <s v="Sarah Rodriguez"/>
        <s v="Sarah Williams"/>
      </sharedItems>
    </cacheField>
    <cacheField name="[Measures].[Sum of REVENUE]" caption="Sum of REVENUE" numFmtId="0" hierarchy="13" level="32767"/>
    <cacheField name="[Table1].[REVENUE].[REVENUE]" caption="REVENUE" numFmtId="0" hierarchy="8" level="1">
      <sharedItems containsSemiMixedTypes="0" containsNonDate="0" containsString="0"/>
    </cacheField>
  </cacheFields>
  <cacheHierarchies count="16">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fieldsUsage count="2">
        <fieldUsage x="-1"/>
        <fieldUsage x="2"/>
      </fieldsUsage>
    </cacheHierarchy>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30092589" backgroundQuery="1" createdVersion="7" refreshedVersion="7" minRefreshableVersion="3" recordCount="0" supportSubquery="1" supportAdvancedDrill="1" xr:uid="{C5B70B84-3C60-40F1-A28F-C90B0DD6C566}">
  <cacheSource type="external" connectionId="1"/>
  <cacheFields count="4">
    <cacheField name="[Measures].[Sum of REVENUE]" caption="Sum of REVENUE" numFmtId="0" hierarchy="13" level="32767"/>
    <cacheField name="[Table1].[Date of Visit].[Date of Visit]" caption="Date of Visit" numFmtId="0" hierarchy="4" level="1">
      <sharedItems containsSemiMixedTypes="0" containsNonDate="0" containsDate="1" containsString="0" minDate="2023-01-01T00:00:00" maxDate="2023-02-05T00:00:00" count="31">
        <d v="2023-01-01T00:00:00"/>
        <d v="2023-01-02T00:00:00"/>
        <d v="2023-01-03T00:00:00"/>
        <d v="2023-01-04T00:00:00"/>
        <d v="2023-01-05T00:00:00"/>
        <d v="2023-01-07T00:00:00"/>
        <d v="2023-01-08T00:00:00"/>
        <d v="2023-01-09T00:00:00"/>
        <d v="2023-01-10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9T00:00:00"/>
        <d v="2023-01-31T00:00:00"/>
        <d v="2023-02-01T00:00:00"/>
        <d v="2023-02-02T00:00:00"/>
        <d v="2023-02-03T00:00:00"/>
        <d v="2023-02-04T00:00:00"/>
      </sharedItems>
    </cacheField>
    <cacheField name="[Table1].[Date of Visit (Month)].[Date of Visit (Month)]" caption="Date of Visit (Month)" numFmtId="0" hierarchy="9" level="1">
      <sharedItems count="2">
        <s v="Jan"/>
        <s v="Feb"/>
      </sharedItems>
    </cacheField>
    <cacheField name="[Table1].[REVENUE].[REVENUE]" caption="REVENUE" numFmtId="0" hierarchy="8" level="1">
      <sharedItems containsSemiMixedTypes="0" containsNonDate="0" containsString="0"/>
    </cacheField>
  </cacheFields>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0" memberValueDatatype="130" unbalanced="0"/>
    <cacheHierarchy uniqueName="[Table1].[Dish Ordered]" caption="Dish Ordered" attribute="1" defaultMemberUniqueName="[Table1].[Dish Ordered].[All]" allUniqueName="[Table1].[Dish Order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2" memberValueDatatype="7" unbalanced="0">
      <fieldsUsage count="2">
        <fieldUsage x="-1"/>
        <fieldUsage x="1"/>
      </fieldsUsage>
    </cacheHierarchy>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fieldsUsage count="2">
        <fieldUsage x="-1"/>
        <fieldUsage x="3"/>
      </fieldsUsage>
    </cacheHierarchy>
    <cacheHierarchy uniqueName="[Table1].[Date of Visit (Month)]" caption="Date of Visit (Month)" attribute="1" defaultMemberUniqueName="[Table1].[Date of Visit (Month)].[All]" allUniqueName="[Table1].[Date of Visit (Month)].[All]" dimensionUniqueName="[Table1]" displayFolder="" count="2" memberValueDatatype="130" unbalanced="0">
      <fieldsUsage count="2">
        <fieldUsage x="-1"/>
        <fieldUsage x="2"/>
      </fieldsUsage>
    </cacheHierarchy>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800758449077" backgroundQuery="1" createdVersion="7" refreshedVersion="7" minRefreshableVersion="3" recordCount="0" supportSubquery="1" supportAdvancedDrill="1" xr:uid="{AADBD258-42BE-46D4-B8A2-7356C2C1931E}">
  <cacheSource type="external" connectionId="1"/>
  <cacheFields count="2">
    <cacheField name="[Table1].[Restaurant].[Restaurant]" caption="Restaurant" numFmtId="0" hierarchy="1" level="1">
      <sharedItems count="6">
        <s v="Burger King"/>
        <s v="Dominos"/>
        <s v="KFC"/>
        <s v="McDonalds"/>
        <s v="Not Specified"/>
        <s v="Subway"/>
      </sharedItems>
    </cacheField>
    <cacheField name="[Measures].[Sum of Price of Dish Ordered]" caption="Sum of Price of Dish Ordered" numFmtId="0" hierarchy="15" level="32767"/>
  </cacheFields>
  <cacheHierarchies count="16">
    <cacheHierarchy uniqueName="[Table1].[Customer]" caption="Customer" attribute="1" defaultMemberUniqueName="[Table1].[Customer].[All]" allUniqueName="[Table1].[Customer].[All]" dimensionUniqueName="[Table1]" displayFolder="" count="2" memberValueDatatype="130" unbalanced="0"/>
    <cacheHierarchy uniqueName="[Table1].[Restaurant]" caption="Restaurant" attribute="1" defaultMemberUniqueName="[Table1].[Restaurant].[All]" allUniqueName="[Table1].[Restaurant].[All]" dimensionUniqueName="[Table1]" displayFolder="" count="2" memberValueDatatype="130" unbalanced="0">
      <fieldsUsage count="2">
        <fieldUsage x="-1"/>
        <fieldUsage x="0"/>
      </fieldsUsage>
    </cacheHierarchy>
    <cacheHierarchy uniqueName="[Table1].[Dish Ordered]" caption="Dish Ordered" attribute="1" defaultMemberUniqueName="[Table1].[Dish Ordered].[All]" allUniqueName="[Table1].[Dish Ordered].[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20" unbalanced="0"/>
    <cacheHierarchy uniqueName="[Table1].[Date of Visit]" caption="Date of Visit" attribute="1" time="1" defaultMemberUniqueName="[Table1].[Date of Visit].[All]" allUniqueName="[Table1].[Date of Visit].[All]" dimensionUniqueName="[Table1]" displayFolder="" count="2" memberValueDatatype="7" unbalanced="0"/>
    <cacheHierarchy uniqueName="[Table1].[Feedback]" caption="Feedback" attribute="1" defaultMemberUniqueName="[Table1].[Feedback].[All]" allUniqueName="[Table1].[Feedback].[All]" dimensionUniqueName="[Table1]" displayFolder="" count="2" memberValueDatatype="130" unbalanced="0"/>
    <cacheHierarchy uniqueName="[Table1].[Price of Dish Ordered]" caption="Price of Dish Ordered" attribute="1" defaultMemberUniqueName="[Table1].[Price of Dish Ordered].[All]" allUniqueName="[Table1].[Price of Dish Ordered].[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Date of Visit (Month)]" caption="Date of Visit (Month)" attribute="1" defaultMemberUniqueName="[Table1].[Date of Visit (Month)].[All]" allUniqueName="[Table1].[Date of Visit (Month)].[All]" dimensionUniqueName="[Table1]" displayFolder="" count="2"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athy Eke" refreshedDate="46164.797016666664" backgroundQuery="1" createdVersion="3" refreshedVersion="7" minRefreshableVersion="3" recordCount="0" supportSubquery="1" supportAdvancedDrill="1" xr:uid="{216C44FB-6548-4DB1-8E2F-1B57EAF89D32}">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Table1].[Customer]" caption="Customer" attribute="1" defaultMemberUniqueName="[Table1].[Customer].[All]" allUniqueName="[Table1].[Customer].[All]" dimensionUniqueName="[Table1]" displayFolder="" count="0" memberValueDatatype="130" unbalanced="0"/>
    <cacheHierarchy uniqueName="[Table1].[Restaurant]" caption="Restaurant" attribute="1" defaultMemberUniqueName="[Table1].[Restaurant].[All]" allUniqueName="[Table1].[Restaurant].[All]" dimensionUniqueName="[Table1]" displayFolder="" count="2" memberValueDatatype="130" unbalanced="0"/>
    <cacheHierarchy uniqueName="[Table1].[Dish Ordered]" caption="Dish Ordered" attribute="1" defaultMemberUniqueName="[Table1].[Dish Ordered].[All]" allUniqueName="[Table1].[Dish Ordered].[All]" dimensionUniqueName="[Table1]" displayFolder="" count="2" memberValueDatatype="130" unbalanced="0"/>
    <cacheHierarchy uniqueName="[Table1].[Rating]" caption="Rating" attribute="1" defaultMemberUniqueName="[Table1].[Rating].[All]" allUniqueName="[Table1].[Rating].[All]" dimensionUniqueName="[Table1]" displayFolder="" count="0" memberValueDatatype="20" unbalanced="0"/>
    <cacheHierarchy uniqueName="[Table1].[Date of Visit]" caption="Date of Visit" attribute="1" time="1" defaultMemberUniqueName="[Table1].[Date of Visit].[All]" allUniqueName="[Table1].[Date of Visit].[All]" dimensionUniqueName="[Table1]" displayFolder="" count="0" memberValueDatatype="7" unbalanced="0"/>
    <cacheHierarchy uniqueName="[Table1].[Feedback]" caption="Feedback" attribute="1" defaultMemberUniqueName="[Table1].[Feedback].[All]" allUniqueName="[Table1].[Feedback].[All]" dimensionUniqueName="[Table1]" displayFolder="" count="0" memberValueDatatype="130" unbalanced="0"/>
    <cacheHierarchy uniqueName="[Table1].[Price of Dish Ordered]" caption="Price of Dish Ordered" attribute="1" defaultMemberUniqueName="[Table1].[Price of Dish Ordered].[All]" allUniqueName="[Table1].[Price of Dish Ordere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Date of Visit (Month)]" caption="Date of Visit (Month)" attribute="1" defaultMemberUniqueName="[Table1].[Date of Visit (Month)].[All]" allUniqueName="[Table1].[Date of Visit (Month)].[All]" dimensionUniqueName="[Table1]" displayFolder="" count="0" memberValueDatatype="130" unbalanced="0"/>
    <cacheHierarchy uniqueName="[Table1].[Date of Visit (Month Index)]" caption="Date of Visit (Month Index)" attribute="1" defaultMemberUniqueName="[Table1].[Date of Visit (Month Index)].[All]" allUniqueName="[Table1].[Date of Visit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Price of Dish Ordered]" caption="Sum of Price of Dish Ordered"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1249256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s v="McDonalds"/>
    <x v="0"/>
    <n v="2"/>
    <x v="0"/>
    <s v="Good service"/>
    <n v="5"/>
    <x v="0"/>
  </r>
  <r>
    <x v="1"/>
    <s v="Burger King"/>
    <x v="1"/>
    <n v="1"/>
    <x v="1"/>
    <s v="Good service"/>
    <n v="20"/>
    <x v="1"/>
  </r>
  <r>
    <x v="2"/>
    <s v="Not Specified"/>
    <x v="2"/>
    <n v="2"/>
    <x v="0"/>
    <s v="Good service"/>
    <n v="5"/>
    <x v="2"/>
  </r>
  <r>
    <x v="3"/>
    <s v="McDonalds"/>
    <x v="3"/>
    <n v="2"/>
    <x v="2"/>
    <s v="Good service"/>
    <n v="5"/>
    <x v="2"/>
  </r>
  <r>
    <x v="4"/>
    <s v="McDonalds"/>
    <x v="2"/>
    <n v="4"/>
    <x v="0"/>
    <s v="Good service"/>
    <n v="5"/>
    <x v="2"/>
  </r>
  <r>
    <x v="5"/>
    <s v="McDonalds"/>
    <x v="4"/>
    <n v="1"/>
    <x v="3"/>
    <s v="Good service"/>
    <n v="25"/>
    <x v="3"/>
  </r>
  <r>
    <x v="6"/>
    <s v="McDonalds"/>
    <x v="5"/>
    <n v="5"/>
    <x v="4"/>
    <s v="Good service"/>
    <n v="10"/>
    <x v="0"/>
  </r>
  <r>
    <x v="7"/>
    <s v="Dominos"/>
    <x v="0"/>
    <n v="2"/>
    <x v="5"/>
    <s v="Good service"/>
    <n v="20"/>
    <x v="3"/>
  </r>
  <r>
    <x v="8"/>
    <s v="Subway"/>
    <x v="1"/>
    <n v="1"/>
    <x v="6"/>
    <s v="Good service"/>
    <n v="25"/>
    <x v="0"/>
  </r>
  <r>
    <x v="2"/>
    <s v="KFC"/>
    <x v="6"/>
    <n v="3"/>
    <x v="0"/>
    <s v="Good service"/>
    <n v="25"/>
    <x v="3"/>
  </r>
  <r>
    <x v="9"/>
    <s v="McDonalds"/>
    <x v="5"/>
    <n v="1"/>
    <x v="7"/>
    <s v="Good service"/>
    <n v="25"/>
    <x v="3"/>
  </r>
  <r>
    <x v="7"/>
    <s v="Dominos"/>
    <x v="0"/>
    <n v="2"/>
    <x v="5"/>
    <s v="Good service"/>
    <n v="25"/>
    <x v="1"/>
  </r>
  <r>
    <x v="10"/>
    <s v="McDonalds"/>
    <x v="0"/>
    <n v="1"/>
    <x v="8"/>
    <s v="Good service"/>
    <n v="25"/>
    <x v="3"/>
  </r>
  <r>
    <x v="11"/>
    <s v="Not Specified"/>
    <x v="3"/>
    <n v="2"/>
    <x v="9"/>
    <s v="Good service"/>
    <n v="15"/>
    <x v="4"/>
  </r>
  <r>
    <x v="12"/>
    <s v="KFC"/>
    <x v="6"/>
    <n v="1"/>
    <x v="10"/>
    <s v="Good service"/>
    <n v="20"/>
    <x v="1"/>
  </r>
  <r>
    <x v="13"/>
    <s v="Dominos"/>
    <x v="3"/>
    <n v="2"/>
    <x v="11"/>
    <s v="Good service"/>
    <n v="25"/>
    <x v="3"/>
  </r>
  <r>
    <x v="2"/>
    <s v="Not Specified"/>
    <x v="2"/>
    <n v="2"/>
    <x v="0"/>
    <s v="Good service"/>
    <n v="20"/>
    <x v="2"/>
  </r>
  <r>
    <x v="14"/>
    <s v="Burger King"/>
    <x v="2"/>
    <n v="4"/>
    <x v="12"/>
    <s v="Good service"/>
    <n v="15"/>
    <x v="4"/>
  </r>
  <r>
    <x v="2"/>
    <s v="Not Specified"/>
    <x v="2"/>
    <n v="2"/>
    <x v="0"/>
    <s v="Good service"/>
    <n v="15"/>
    <x v="4"/>
  </r>
  <r>
    <x v="2"/>
    <s v="KFC"/>
    <x v="6"/>
    <n v="3"/>
    <x v="13"/>
    <s v="Good service"/>
    <n v="20"/>
    <x v="4"/>
  </r>
  <r>
    <x v="5"/>
    <s v="McDonalds"/>
    <x v="7"/>
    <n v="3"/>
    <x v="0"/>
    <s v="Good service"/>
    <n v="5"/>
    <x v="1"/>
  </r>
  <r>
    <x v="15"/>
    <s v="Burger King"/>
    <x v="3"/>
    <n v="1"/>
    <x v="14"/>
    <s v="Good service"/>
    <n v="10"/>
    <x v="3"/>
  </r>
  <r>
    <x v="16"/>
    <s v="Dominos"/>
    <x v="7"/>
    <n v="1"/>
    <x v="15"/>
    <s v="Good service"/>
    <n v="5"/>
    <x v="1"/>
  </r>
  <r>
    <x v="17"/>
    <s v="Subway"/>
    <x v="0"/>
    <n v="5"/>
    <x v="0"/>
    <s v="Good service"/>
    <n v="17"/>
    <x v="2"/>
  </r>
  <r>
    <x v="18"/>
    <s v="Subway"/>
    <x v="7"/>
    <n v="4"/>
    <x v="16"/>
    <s v="Good service"/>
    <n v="5"/>
    <x v="2"/>
  </r>
  <r>
    <x v="2"/>
    <s v="Not Specified"/>
    <x v="2"/>
    <n v="2"/>
    <x v="0"/>
    <s v="Good service"/>
    <n v="25"/>
    <x v="1"/>
  </r>
  <r>
    <x v="3"/>
    <s v="Not Specified"/>
    <x v="4"/>
    <n v="1"/>
    <x v="17"/>
    <s v="Good service"/>
    <n v="15"/>
    <x v="2"/>
  </r>
  <r>
    <x v="1"/>
    <s v="Burger King"/>
    <x v="1"/>
    <n v="1"/>
    <x v="1"/>
    <s v="Good service"/>
    <n v="5"/>
    <x v="1"/>
  </r>
  <r>
    <x v="10"/>
    <s v="Dominos"/>
    <x v="7"/>
    <n v="4"/>
    <x v="18"/>
    <s v="Good service"/>
    <n v="13"/>
    <x v="3"/>
  </r>
  <r>
    <x v="2"/>
    <s v="Burger King"/>
    <x v="8"/>
    <n v="3"/>
    <x v="19"/>
    <s v="Good service"/>
    <n v="23"/>
    <x v="4"/>
  </r>
  <r>
    <x v="19"/>
    <s v="McDonalds"/>
    <x v="0"/>
    <n v="3"/>
    <x v="20"/>
    <s v="Good service"/>
    <n v="10"/>
    <x v="2"/>
  </r>
  <r>
    <x v="18"/>
    <s v="Subway"/>
    <x v="7"/>
    <n v="4"/>
    <x v="16"/>
    <s v="Good service"/>
    <n v="20"/>
    <x v="1"/>
  </r>
  <r>
    <x v="2"/>
    <s v="Burger King"/>
    <x v="8"/>
    <n v="3"/>
    <x v="19"/>
    <s v="Good service"/>
    <n v="20"/>
    <x v="1"/>
  </r>
  <r>
    <x v="20"/>
    <s v="McDonalds"/>
    <x v="9"/>
    <n v="2"/>
    <x v="21"/>
    <s v="Good service"/>
    <n v="25"/>
    <x v="2"/>
  </r>
  <r>
    <x v="21"/>
    <s v="KFC"/>
    <x v="2"/>
    <n v="1"/>
    <x v="22"/>
    <s v="Good service"/>
    <n v="10"/>
    <x v="1"/>
  </r>
  <r>
    <x v="21"/>
    <s v="Not Specified"/>
    <x v="10"/>
    <n v="1"/>
    <x v="23"/>
    <s v="Good service"/>
    <n v="20"/>
    <x v="2"/>
  </r>
  <r>
    <x v="22"/>
    <s v="KFC"/>
    <x v="7"/>
    <n v="2"/>
    <x v="24"/>
    <s v="Good service"/>
    <n v="20"/>
    <x v="4"/>
  </r>
  <r>
    <x v="2"/>
    <s v="Not Specified"/>
    <x v="2"/>
    <n v="2"/>
    <x v="0"/>
    <s v="Good service"/>
    <n v="10"/>
    <x v="2"/>
  </r>
  <r>
    <x v="2"/>
    <s v="Dominos"/>
    <x v="3"/>
    <n v="1"/>
    <x v="25"/>
    <s v="Good service"/>
    <n v="14"/>
    <x v="1"/>
  </r>
  <r>
    <x v="23"/>
    <s v="Subway"/>
    <x v="1"/>
    <n v="1"/>
    <x v="26"/>
    <s v="Good service"/>
    <n v="20"/>
    <x v="2"/>
  </r>
  <r>
    <x v="6"/>
    <s v="McDonalds"/>
    <x v="5"/>
    <n v="5"/>
    <x v="4"/>
    <s v="Good service"/>
    <n v="10"/>
    <x v="3"/>
  </r>
  <r>
    <x v="24"/>
    <s v="McDonalds"/>
    <x v="7"/>
    <n v="2"/>
    <x v="27"/>
    <s v="Good service"/>
    <n v="20"/>
    <x v="0"/>
  </r>
  <r>
    <x v="25"/>
    <s v="Not Specified"/>
    <x v="1"/>
    <n v="1"/>
    <x v="28"/>
    <s v="Good service"/>
    <n v="20"/>
    <x v="2"/>
  </r>
  <r>
    <x v="26"/>
    <s v="Subway"/>
    <x v="8"/>
    <n v="5"/>
    <x v="29"/>
    <s v="Good service"/>
    <n v="25"/>
    <x v="3"/>
  </r>
  <r>
    <x v="27"/>
    <s v="Dominos"/>
    <x v="2"/>
    <n v="3"/>
    <x v="30"/>
    <s v="Good service"/>
    <n v="5"/>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x v="0"/>
    <x v="0"/>
    <x v="0"/>
    <x v="0"/>
    <x v="0"/>
  </r>
  <r>
    <x v="1"/>
    <x v="1"/>
    <x v="1"/>
    <x v="1"/>
    <x v="1"/>
    <x v="0"/>
    <x v="1"/>
    <x v="1"/>
  </r>
  <r>
    <x v="2"/>
    <x v="2"/>
    <x v="2"/>
    <x v="0"/>
    <x v="0"/>
    <x v="0"/>
    <x v="0"/>
    <x v="2"/>
  </r>
  <r>
    <x v="3"/>
    <x v="0"/>
    <x v="3"/>
    <x v="0"/>
    <x v="2"/>
    <x v="0"/>
    <x v="0"/>
    <x v="2"/>
  </r>
  <r>
    <x v="4"/>
    <x v="0"/>
    <x v="2"/>
    <x v="2"/>
    <x v="0"/>
    <x v="0"/>
    <x v="0"/>
    <x v="2"/>
  </r>
  <r>
    <x v="5"/>
    <x v="0"/>
    <x v="4"/>
    <x v="1"/>
    <x v="3"/>
    <x v="0"/>
    <x v="2"/>
    <x v="3"/>
  </r>
  <r>
    <x v="6"/>
    <x v="0"/>
    <x v="5"/>
    <x v="3"/>
    <x v="4"/>
    <x v="0"/>
    <x v="3"/>
    <x v="0"/>
  </r>
  <r>
    <x v="7"/>
    <x v="3"/>
    <x v="0"/>
    <x v="0"/>
    <x v="5"/>
    <x v="0"/>
    <x v="1"/>
    <x v="3"/>
  </r>
  <r>
    <x v="8"/>
    <x v="4"/>
    <x v="1"/>
    <x v="1"/>
    <x v="6"/>
    <x v="0"/>
    <x v="2"/>
    <x v="0"/>
  </r>
  <r>
    <x v="2"/>
    <x v="5"/>
    <x v="6"/>
    <x v="4"/>
    <x v="0"/>
    <x v="0"/>
    <x v="2"/>
    <x v="3"/>
  </r>
  <r>
    <x v="9"/>
    <x v="0"/>
    <x v="5"/>
    <x v="1"/>
    <x v="7"/>
    <x v="0"/>
    <x v="2"/>
    <x v="3"/>
  </r>
  <r>
    <x v="7"/>
    <x v="3"/>
    <x v="0"/>
    <x v="0"/>
    <x v="5"/>
    <x v="0"/>
    <x v="2"/>
    <x v="1"/>
  </r>
  <r>
    <x v="10"/>
    <x v="0"/>
    <x v="0"/>
    <x v="1"/>
    <x v="8"/>
    <x v="0"/>
    <x v="2"/>
    <x v="3"/>
  </r>
  <r>
    <x v="11"/>
    <x v="2"/>
    <x v="3"/>
    <x v="0"/>
    <x v="9"/>
    <x v="0"/>
    <x v="4"/>
    <x v="4"/>
  </r>
  <r>
    <x v="12"/>
    <x v="5"/>
    <x v="6"/>
    <x v="1"/>
    <x v="10"/>
    <x v="0"/>
    <x v="1"/>
    <x v="1"/>
  </r>
  <r>
    <x v="13"/>
    <x v="3"/>
    <x v="3"/>
    <x v="0"/>
    <x v="11"/>
    <x v="0"/>
    <x v="2"/>
    <x v="3"/>
  </r>
  <r>
    <x v="2"/>
    <x v="2"/>
    <x v="2"/>
    <x v="0"/>
    <x v="0"/>
    <x v="0"/>
    <x v="1"/>
    <x v="2"/>
  </r>
  <r>
    <x v="14"/>
    <x v="1"/>
    <x v="2"/>
    <x v="2"/>
    <x v="12"/>
    <x v="0"/>
    <x v="4"/>
    <x v="4"/>
  </r>
  <r>
    <x v="2"/>
    <x v="2"/>
    <x v="2"/>
    <x v="0"/>
    <x v="0"/>
    <x v="0"/>
    <x v="4"/>
    <x v="4"/>
  </r>
  <r>
    <x v="2"/>
    <x v="5"/>
    <x v="6"/>
    <x v="4"/>
    <x v="13"/>
    <x v="0"/>
    <x v="1"/>
    <x v="4"/>
  </r>
  <r>
    <x v="5"/>
    <x v="0"/>
    <x v="7"/>
    <x v="4"/>
    <x v="0"/>
    <x v="0"/>
    <x v="0"/>
    <x v="1"/>
  </r>
  <r>
    <x v="15"/>
    <x v="1"/>
    <x v="3"/>
    <x v="1"/>
    <x v="14"/>
    <x v="0"/>
    <x v="3"/>
    <x v="3"/>
  </r>
  <r>
    <x v="16"/>
    <x v="3"/>
    <x v="7"/>
    <x v="1"/>
    <x v="15"/>
    <x v="0"/>
    <x v="0"/>
    <x v="1"/>
  </r>
  <r>
    <x v="17"/>
    <x v="4"/>
    <x v="0"/>
    <x v="3"/>
    <x v="0"/>
    <x v="0"/>
    <x v="5"/>
    <x v="2"/>
  </r>
  <r>
    <x v="18"/>
    <x v="4"/>
    <x v="7"/>
    <x v="2"/>
    <x v="16"/>
    <x v="0"/>
    <x v="0"/>
    <x v="2"/>
  </r>
  <r>
    <x v="2"/>
    <x v="2"/>
    <x v="2"/>
    <x v="0"/>
    <x v="0"/>
    <x v="0"/>
    <x v="2"/>
    <x v="1"/>
  </r>
  <r>
    <x v="3"/>
    <x v="2"/>
    <x v="4"/>
    <x v="1"/>
    <x v="17"/>
    <x v="0"/>
    <x v="4"/>
    <x v="2"/>
  </r>
  <r>
    <x v="1"/>
    <x v="1"/>
    <x v="1"/>
    <x v="1"/>
    <x v="1"/>
    <x v="0"/>
    <x v="0"/>
    <x v="1"/>
  </r>
  <r>
    <x v="10"/>
    <x v="3"/>
    <x v="7"/>
    <x v="2"/>
    <x v="18"/>
    <x v="0"/>
    <x v="6"/>
    <x v="3"/>
  </r>
  <r>
    <x v="2"/>
    <x v="1"/>
    <x v="8"/>
    <x v="4"/>
    <x v="19"/>
    <x v="0"/>
    <x v="7"/>
    <x v="4"/>
  </r>
  <r>
    <x v="19"/>
    <x v="0"/>
    <x v="0"/>
    <x v="4"/>
    <x v="20"/>
    <x v="0"/>
    <x v="3"/>
    <x v="2"/>
  </r>
  <r>
    <x v="18"/>
    <x v="4"/>
    <x v="7"/>
    <x v="2"/>
    <x v="16"/>
    <x v="0"/>
    <x v="1"/>
    <x v="1"/>
  </r>
  <r>
    <x v="2"/>
    <x v="1"/>
    <x v="8"/>
    <x v="4"/>
    <x v="19"/>
    <x v="0"/>
    <x v="1"/>
    <x v="1"/>
  </r>
  <r>
    <x v="20"/>
    <x v="0"/>
    <x v="9"/>
    <x v="0"/>
    <x v="21"/>
    <x v="0"/>
    <x v="2"/>
    <x v="2"/>
  </r>
  <r>
    <x v="21"/>
    <x v="5"/>
    <x v="2"/>
    <x v="1"/>
    <x v="22"/>
    <x v="0"/>
    <x v="3"/>
    <x v="1"/>
  </r>
  <r>
    <x v="21"/>
    <x v="2"/>
    <x v="10"/>
    <x v="1"/>
    <x v="23"/>
    <x v="0"/>
    <x v="1"/>
    <x v="2"/>
  </r>
  <r>
    <x v="22"/>
    <x v="5"/>
    <x v="7"/>
    <x v="0"/>
    <x v="24"/>
    <x v="0"/>
    <x v="1"/>
    <x v="4"/>
  </r>
  <r>
    <x v="2"/>
    <x v="2"/>
    <x v="2"/>
    <x v="0"/>
    <x v="0"/>
    <x v="0"/>
    <x v="3"/>
    <x v="2"/>
  </r>
  <r>
    <x v="2"/>
    <x v="3"/>
    <x v="3"/>
    <x v="1"/>
    <x v="25"/>
    <x v="0"/>
    <x v="8"/>
    <x v="1"/>
  </r>
  <r>
    <x v="23"/>
    <x v="4"/>
    <x v="1"/>
    <x v="1"/>
    <x v="26"/>
    <x v="0"/>
    <x v="1"/>
    <x v="2"/>
  </r>
  <r>
    <x v="6"/>
    <x v="0"/>
    <x v="5"/>
    <x v="3"/>
    <x v="4"/>
    <x v="0"/>
    <x v="3"/>
    <x v="3"/>
  </r>
  <r>
    <x v="24"/>
    <x v="0"/>
    <x v="7"/>
    <x v="0"/>
    <x v="27"/>
    <x v="0"/>
    <x v="1"/>
    <x v="0"/>
  </r>
  <r>
    <x v="25"/>
    <x v="2"/>
    <x v="1"/>
    <x v="1"/>
    <x v="28"/>
    <x v="0"/>
    <x v="1"/>
    <x v="2"/>
  </r>
  <r>
    <x v="26"/>
    <x v="4"/>
    <x v="8"/>
    <x v="3"/>
    <x v="29"/>
    <x v="0"/>
    <x v="2"/>
    <x v="3"/>
  </r>
  <r>
    <x v="27"/>
    <x v="3"/>
    <x v="2"/>
    <x v="4"/>
    <x v="30"/>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FD5A5-9BD6-420C-B606-44C00A3EEEB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h="1" x="8"/>
        <item x="3"/>
        <item h="1" x="2"/>
        <item h="1" x="4"/>
        <item h="1" x="1"/>
        <item h="1" x="9"/>
        <item h="1" x="6"/>
        <item h="1" x="7"/>
        <item h="1" x="0"/>
        <item h="1" x="5"/>
        <item h="1" x="10"/>
        <item t="default"/>
      </items>
    </pivotField>
    <pivotField showAll="0"/>
    <pivotField numFmtId="14" showAll="0"/>
    <pivotField showAll="0"/>
    <pivotField showAll="0">
      <items count="10">
        <item x="0"/>
        <item x="3"/>
        <item x="6"/>
        <item x="8"/>
        <item x="4"/>
        <item x="5"/>
        <item x="1"/>
        <item x="7"/>
        <item x="2"/>
        <item t="default"/>
      </items>
    </pivotField>
    <pivotField dataField="1" showAll="0">
      <items count="6">
        <item x="2"/>
        <item x="4"/>
        <item x="1"/>
        <item x="0"/>
        <item x="3"/>
        <item t="default"/>
      </items>
    </pivotField>
  </pivotFields>
  <rowFields count="1">
    <field x="2"/>
  </rowFields>
  <rowItems count="2">
    <i>
      <x v="1"/>
    </i>
    <i t="grand">
      <x/>
    </i>
  </rowItems>
  <colItems count="1">
    <i/>
  </colItems>
  <dataFields count="1">
    <dataField name="Sum of Quantity" fld="7"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F26084-B965-4085-9B95-73FA1DAB6E1C}"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C9"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showAll="0">
      <items count="12">
        <item h="1" x="8"/>
        <item x="3"/>
        <item h="1" x="2"/>
        <item h="1" x="4"/>
        <item h="1" x="1"/>
        <item h="1" x="9"/>
        <item h="1" x="6"/>
        <item h="1" x="7"/>
        <item h="1" x="0"/>
        <item h="1" x="5"/>
        <item h="1" x="10"/>
        <item t="default"/>
      </items>
    </pivotField>
    <pivotField showAll="0"/>
    <pivotField numFmtId="14" showAll="0"/>
    <pivotField showAll="0"/>
    <pivotField dataField="1" showAll="0">
      <items count="10">
        <item x="0"/>
        <item x="3"/>
        <item x="6"/>
        <item x="8"/>
        <item x="4"/>
        <item x="5"/>
        <item x="1"/>
        <item x="7"/>
        <item x="2"/>
        <item t="default"/>
      </items>
    </pivotField>
    <pivotField dataField="1" showAll="0">
      <items count="6">
        <item x="2"/>
        <item x="4"/>
        <item x="1"/>
        <item x="0"/>
        <item x="3"/>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Price of Dish Ordered" fld="6" baseField="0" baseItem="0"/>
    <dataField name="Sum of Quantity" fld="7"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3"/>
          </reference>
        </references>
      </pivotArea>
    </chartFormat>
    <chartFormat chart="1" format="7">
      <pivotArea type="data" outline="0" fieldPosition="0">
        <references count="2">
          <reference field="4294967294" count="1" selected="0">
            <x v="0"/>
          </reference>
          <reference field="1" count="1" selected="0">
            <x v="4"/>
          </reference>
        </references>
      </pivotArea>
    </chartFormat>
    <chartFormat chart="1" format="8">
      <pivotArea type="data" outline="0" fieldPosition="0">
        <references count="2">
          <reference field="4294967294" count="1" selected="0">
            <x v="0"/>
          </reference>
          <reference field="1" count="1" selected="0">
            <x v="5"/>
          </reference>
        </references>
      </pivotArea>
    </chartFormat>
    <chartFormat chart="1" format="9" series="1">
      <pivotArea type="data" outline="0" fieldPosition="0">
        <references count="1">
          <reference field="4294967294" count="1" selected="0">
            <x v="1"/>
          </reference>
        </references>
      </pivotArea>
    </chartFormat>
    <chartFormat chart="1" format="10">
      <pivotArea type="data" outline="0" fieldPosition="0">
        <references count="2">
          <reference field="4294967294" count="1" selected="0">
            <x v="1"/>
          </reference>
          <reference field="1" count="1" selected="0">
            <x v="0"/>
          </reference>
        </references>
      </pivotArea>
    </chartFormat>
    <chartFormat chart="1" format="11">
      <pivotArea type="data" outline="0" fieldPosition="0">
        <references count="2">
          <reference field="4294967294" count="1" selected="0">
            <x v="1"/>
          </reference>
          <reference field="1" count="1" selected="0">
            <x v="1"/>
          </reference>
        </references>
      </pivotArea>
    </chartFormat>
    <chartFormat chart="1" format="12">
      <pivotArea type="data" outline="0" fieldPosition="0">
        <references count="2">
          <reference field="4294967294" count="1" selected="0">
            <x v="1"/>
          </reference>
          <reference field="1" count="1" selected="0">
            <x v="2"/>
          </reference>
        </references>
      </pivotArea>
    </chartFormat>
    <chartFormat chart="1" format="13">
      <pivotArea type="data" outline="0" fieldPosition="0">
        <references count="2">
          <reference field="4294967294" count="1" selected="0">
            <x v="1"/>
          </reference>
          <reference field="1" count="1" selected="0">
            <x v="3"/>
          </reference>
        </references>
      </pivotArea>
    </chartFormat>
    <chartFormat chart="1" format="14">
      <pivotArea type="data" outline="0" fieldPosition="0">
        <references count="2">
          <reference field="4294967294" count="1" selected="0">
            <x v="1"/>
          </reference>
          <reference field="1" count="1" selected="0">
            <x v="4"/>
          </reference>
        </references>
      </pivotArea>
    </chartFormat>
    <chartFormat chart="1" format="15">
      <pivotArea type="data" outline="0" fieldPosition="0">
        <references count="2">
          <reference field="4294967294" count="1" selected="0">
            <x v="1"/>
          </reference>
          <reference field="1" count="1" selected="0">
            <x v="5"/>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1"/>
          </reference>
          <reference field="1" count="1" selected="0">
            <x v="0"/>
          </reference>
        </references>
      </pivotArea>
    </chartFormat>
    <chartFormat chart="0" format="9">
      <pivotArea type="data" outline="0" fieldPosition="0">
        <references count="2">
          <reference field="4294967294" count="1" selected="0">
            <x v="1"/>
          </reference>
          <reference field="1" count="1" selected="0">
            <x v="1"/>
          </reference>
        </references>
      </pivotArea>
    </chartFormat>
    <chartFormat chart="0" format="10">
      <pivotArea type="data" outline="0" fieldPosition="0">
        <references count="2">
          <reference field="4294967294" count="1" selected="0">
            <x v="1"/>
          </reference>
          <reference field="1" count="1" selected="0">
            <x v="2"/>
          </reference>
        </references>
      </pivotArea>
    </chartFormat>
    <chartFormat chart="0" format="11">
      <pivotArea type="data" outline="0" fieldPosition="0">
        <references count="2">
          <reference field="4294967294" count="1" selected="0">
            <x v="1"/>
          </reference>
          <reference field="1" count="1" selected="0">
            <x v="3"/>
          </reference>
        </references>
      </pivotArea>
    </chartFormat>
    <chartFormat chart="0" format="12">
      <pivotArea type="data" outline="0" fieldPosition="0">
        <references count="2">
          <reference field="4294967294" count="1" selected="0">
            <x v="1"/>
          </reference>
          <reference field="1" count="1" selected="0">
            <x v="4"/>
          </reference>
        </references>
      </pivotArea>
    </chartFormat>
    <chartFormat chart="0" format="13">
      <pivotArea type="data" outline="0" fieldPosition="0">
        <references count="2">
          <reference field="4294967294"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C1C02E-D982-4FFE-ABCC-A55CB5AB5C76}"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B11"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axis="axisRow" showAll="0">
      <items count="12">
        <item h="1" x="8"/>
        <item x="3"/>
        <item h="1" x="2"/>
        <item h="1" x="4"/>
        <item h="1" x="1"/>
        <item h="1" x="9"/>
        <item h="1" x="6"/>
        <item h="1" x="7"/>
        <item h="1" x="0"/>
        <item h="1" x="5"/>
        <item h="1" x="10"/>
        <item t="default"/>
      </items>
    </pivotField>
    <pivotField showAll="0">
      <items count="6">
        <item x="1"/>
        <item x="0"/>
        <item x="4"/>
        <item x="2"/>
        <item x="3"/>
        <item t="default"/>
      </items>
    </pivotField>
    <pivotField numFmtId="14" showAll="0"/>
    <pivotField showAll="0">
      <items count="2">
        <item x="0"/>
        <item t="default"/>
      </items>
    </pivotField>
    <pivotField showAll="0">
      <items count="10">
        <item x="0"/>
        <item x="3"/>
        <item x="6"/>
        <item x="8"/>
        <item x="4"/>
        <item x="5"/>
        <item x="1"/>
        <item x="7"/>
        <item x="2"/>
        <item t="default"/>
      </items>
    </pivotField>
    <pivotField dataField="1" showAll="0">
      <items count="6">
        <item x="2"/>
        <item x="4"/>
        <item x="1"/>
        <item x="0"/>
        <item x="3"/>
        <item t="default"/>
      </items>
    </pivotField>
  </pivotFields>
  <rowFields count="2">
    <field x="1"/>
    <field x="2"/>
  </rowFields>
  <rowItems count="9">
    <i>
      <x/>
    </i>
    <i r="1">
      <x v="1"/>
    </i>
    <i>
      <x v="1"/>
    </i>
    <i r="1">
      <x v="1"/>
    </i>
    <i>
      <x v="3"/>
    </i>
    <i r="1">
      <x v="1"/>
    </i>
    <i>
      <x v="4"/>
    </i>
    <i r="1">
      <x v="1"/>
    </i>
    <i t="grand">
      <x/>
    </i>
  </rowItems>
  <colItems count="1">
    <i/>
  </colItems>
  <dataFields count="1">
    <dataField name="Sum of Quantity" fld="7"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73B9D-8D52-42A9-94E3-82B1DEBF226E}"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9"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axis="axisRow" showAll="0">
      <items count="7">
        <item x="1"/>
        <item x="3"/>
        <item x="5"/>
        <item x="0"/>
        <item x="2"/>
        <item x="4"/>
        <item t="default"/>
      </items>
    </pivotField>
    <pivotField showAll="0">
      <items count="12">
        <item h="1" x="8"/>
        <item x="3"/>
        <item h="1" x="2"/>
        <item h="1" x="4"/>
        <item h="1" x="1"/>
        <item h="1" x="9"/>
        <item h="1" x="6"/>
        <item h="1" x="7"/>
        <item h="1" x="0"/>
        <item h="1" x="5"/>
        <item h="1" x="10"/>
        <item t="default"/>
      </items>
    </pivotField>
    <pivotField showAll="0"/>
    <pivotField numFmtId="14" showAll="0"/>
    <pivotField showAll="0"/>
    <pivotField showAll="0">
      <items count="10">
        <item x="0"/>
        <item x="3"/>
        <item x="6"/>
        <item x="8"/>
        <item x="4"/>
        <item x="5"/>
        <item x="1"/>
        <item x="7"/>
        <item x="2"/>
        <item t="default"/>
      </items>
    </pivotField>
    <pivotField dataField="1" showAll="0">
      <items count="6">
        <item x="2"/>
        <item x="4"/>
        <item x="1"/>
        <item x="0"/>
        <item x="3"/>
        <item t="default"/>
      </items>
    </pivotField>
  </pivotFields>
  <rowFields count="1">
    <field x="1"/>
  </rowFields>
  <rowItems count="7">
    <i>
      <x/>
    </i>
    <i>
      <x v="1"/>
    </i>
    <i>
      <x v="2"/>
    </i>
    <i>
      <x v="3"/>
    </i>
    <i>
      <x v="4"/>
    </i>
    <i>
      <x v="5"/>
    </i>
    <i t="grand">
      <x/>
    </i>
  </rowItems>
  <colItems count="1">
    <i/>
  </colItems>
  <dataFields count="1">
    <dataField name="Sum of Quantity" fld="7" baseField="2"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F65EF4-4453-488B-A694-4A3AED036777}"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C4"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h="1" x="8"/>
        <item x="3"/>
        <item h="1" x="2"/>
        <item h="1" x="4"/>
        <item h="1" x="1"/>
        <item h="1" x="9"/>
        <item h="1" x="6"/>
        <item h="1" x="7"/>
        <item h="1" x="0"/>
        <item h="1" x="5"/>
        <item h="1" x="10"/>
        <item t="default"/>
      </items>
    </pivotField>
    <pivotField showAll="0"/>
    <pivotField numFmtId="14" showAll="0"/>
    <pivotField showAll="0"/>
    <pivotField dataField="1" showAll="0">
      <items count="10">
        <item x="0"/>
        <item x="3"/>
        <item x="6"/>
        <item x="8"/>
        <item x="4"/>
        <item x="5"/>
        <item x="1"/>
        <item x="7"/>
        <item x="2"/>
        <item t="default"/>
      </items>
    </pivotField>
    <pivotField dataField="1" showAll="0">
      <items count="6">
        <item x="2"/>
        <item x="4"/>
        <item x="1"/>
        <item x="0"/>
        <item x="3"/>
        <item t="default"/>
      </items>
    </pivotField>
  </pivotFields>
  <rowFields count="1">
    <field x="2"/>
  </rowFields>
  <rowItems count="2">
    <i>
      <x v="1"/>
    </i>
    <i t="grand">
      <x/>
    </i>
  </rowItems>
  <colFields count="1">
    <field x="-2"/>
  </colFields>
  <colItems count="2">
    <i>
      <x/>
    </i>
    <i i="1">
      <x v="1"/>
    </i>
  </colItems>
  <dataFields count="2">
    <dataField name="Sum of Quantity" fld="7" baseField="2" baseItem="0"/>
    <dataField name="Sum of Price of Dish Ordered"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E96CD4-0755-4327-B41B-E4E8E8695167}"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4"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h="1" x="8"/>
        <item x="3"/>
        <item h="1" x="2"/>
        <item h="1" x="4"/>
        <item h="1" x="1"/>
        <item h="1" x="9"/>
        <item h="1" x="6"/>
        <item h="1" x="7"/>
        <item h="1" x="0"/>
        <item h="1" x="5"/>
        <item h="1" x="10"/>
        <item t="default"/>
      </items>
    </pivotField>
    <pivotField showAll="0"/>
    <pivotField numFmtId="14" showAll="0"/>
    <pivotField showAll="0"/>
    <pivotField dataField="1" showAll="0">
      <items count="10">
        <item x="0"/>
        <item x="3"/>
        <item x="6"/>
        <item x="8"/>
        <item x="4"/>
        <item x="5"/>
        <item x="1"/>
        <item x="7"/>
        <item x="2"/>
        <item t="default"/>
      </items>
    </pivotField>
    <pivotField showAll="0">
      <items count="6">
        <item x="2"/>
        <item x="4"/>
        <item x="1"/>
        <item x="0"/>
        <item x="3"/>
        <item t="default"/>
      </items>
    </pivotField>
  </pivotFields>
  <rowFields count="1">
    <field x="2"/>
  </rowFields>
  <rowItems count="2">
    <i>
      <x v="1"/>
    </i>
    <i t="grand">
      <x/>
    </i>
  </rowItems>
  <colItems count="1">
    <i/>
  </colItems>
  <dataFields count="1">
    <dataField name="Sum of Price of Dish Ordered" fld="6"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ED7D7E-7503-4EB7-AA15-69D481592DD4}"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B4"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h="1" x="8"/>
        <item x="3"/>
        <item h="1" x="2"/>
        <item h="1" x="4"/>
        <item h="1" x="1"/>
        <item h="1" x="9"/>
        <item h="1" x="6"/>
        <item h="1" x="7"/>
        <item h="1" x="0"/>
        <item h="1" x="5"/>
        <item h="1" x="10"/>
        <item t="default"/>
      </items>
    </pivotField>
    <pivotField showAll="0"/>
    <pivotField numFmtId="14" showAll="0"/>
    <pivotField showAll="0"/>
    <pivotField dataField="1" showAll="0">
      <items count="10">
        <item x="0"/>
        <item x="3"/>
        <item x="6"/>
        <item x="8"/>
        <item x="4"/>
        <item x="5"/>
        <item x="1"/>
        <item x="7"/>
        <item x="2"/>
        <item t="default"/>
      </items>
    </pivotField>
    <pivotField showAll="0">
      <items count="6">
        <item x="2"/>
        <item x="4"/>
        <item x="1"/>
        <item x="0"/>
        <item x="3"/>
        <item t="default"/>
      </items>
    </pivotField>
  </pivotFields>
  <rowFields count="1">
    <field x="2"/>
  </rowFields>
  <rowItems count="2">
    <i>
      <x v="1"/>
    </i>
    <i t="grand">
      <x/>
    </i>
  </rowItems>
  <colItems count="1">
    <i/>
  </colItems>
  <dataFields count="1">
    <dataField name="Sum of Price of Dish Ordered"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6288DB-47C2-4F08-B1EE-9890BFB90AB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30"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Max of Price of Dish Ordered" fld="6"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ECA169-CC9D-4CE0-865D-576988C4204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15"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Average of Price of Dish Ordered" fld="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ED192F-7B9B-47AF-965A-6E7AC6BEBC9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8:I30"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31F12C-3A2B-43F8-A095-6F0453065E3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8:M30" firstHeaderRow="0" firstDataRow="1" firstDataCol="1"/>
  <pivotFields count="9">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dataField="1" showAll="0">
      <items count="6">
        <item x="2"/>
        <item x="4"/>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Min of Price of Dish Ordered" fld="6" subtotal="min" baseField="2" baseItem="2"/>
    <dataField name="Count of Quantity" fld="7" subtotal="count"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9E0F89-E5AC-41F5-A7DF-99EC61BC0C8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15"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Price of Dish Order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A80945-B099-4ABE-A8D1-39FB85FAAAA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8:F30"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Min of Price of Dish Ordered" fld="6" subtotal="min"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1D0454-6338-4D21-8DB8-1C4DBF38775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M15" firstHeaderRow="0" firstDataRow="1" firstDataCol="1"/>
  <pivotFields count="9">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dataField="1" showAll="0">
      <items count="6">
        <item x="2"/>
        <item x="4"/>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Max of Price of Dish Ordered" fld="6" subtotal="max" baseField="2" baseItem="0"/>
    <dataField name="Count of Quantity" fld="7"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CF06DA-DCB8-4662-B28F-A56BA11CC5F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5" firstHeaderRow="1" firstDataRow="1" firstDataCol="1"/>
  <pivotFields count="9">
    <pivotField showAll="0"/>
    <pivotField showAll="0"/>
    <pivotField axis="axisRow" showAll="0">
      <items count="12">
        <item x="8"/>
        <item x="3"/>
        <item x="2"/>
        <item x="4"/>
        <item x="1"/>
        <item x="9"/>
        <item x="6"/>
        <item x="7"/>
        <item x="0"/>
        <item x="5"/>
        <item x="1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12">
    <i>
      <x/>
    </i>
    <i>
      <x v="1"/>
    </i>
    <i>
      <x v="2"/>
    </i>
    <i>
      <x v="3"/>
    </i>
    <i>
      <x v="4"/>
    </i>
    <i>
      <x v="5"/>
    </i>
    <i>
      <x v="6"/>
    </i>
    <i>
      <x v="7"/>
    </i>
    <i>
      <x v="8"/>
    </i>
    <i>
      <x v="9"/>
    </i>
    <i>
      <x v="10"/>
    </i>
    <i t="grand">
      <x/>
    </i>
  </rowItems>
  <colItems count="1">
    <i/>
  </colItems>
  <dataFields count="1">
    <dataField name="Count of Quantity" fld="7"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02D5FB-AA8F-40D6-A6D2-F65C0806D2E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9">
    <pivotField showAll="0"/>
    <pivotField showAll="0"/>
    <pivotField showAll="0"/>
    <pivotField showAll="0"/>
    <pivotField numFmtId="14" showAll="0"/>
    <pivotField showAll="0"/>
    <pivotField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3C8EAC-588C-4FAF-90D6-D7F08471E862}"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H16"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Quantity" fld="1"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8C78D6-ABDA-4A8F-955B-2807BCE0BAFD}"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REVENUE" fld="0"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6532F50-15C7-4EF1-96BA-E3A499EF3DFC}"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REVENUE" fld="1"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8BFA5D-74A6-408D-A6AE-B7C8FC39BD6E}" name="PivotTable10"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0:H2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ice of Dish Ordered" fld="1"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8E7B13-14D6-41A0-8C22-D30A6C7324F6}"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0:E23"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2">
        <item x="0" e="0"/>
        <item x="1" e="0"/>
      </items>
    </pivotField>
  </pivotFields>
  <rowFields count="2">
    <field x="2"/>
    <field x="1"/>
  </rowFields>
  <rowItems count="3">
    <i>
      <x/>
    </i>
    <i>
      <x v="1"/>
    </i>
    <i t="grand">
      <x/>
    </i>
  </rowItems>
  <colItems count="1">
    <i/>
  </colItems>
  <dataFields count="1">
    <dataField name="Sum of REVENUE" fld="0"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D3C3C7E-AA40-4B5E-BA0C-53E5DDE5BF0A}"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B49" firstHeaderRow="1" firstDataRow="1" firstDataCol="1"/>
  <pivotFields count="2">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1"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AA8F281-BAC3-408F-B941-2DA6221427ED}" name="PivotTable1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ice of Dish Ordered" fld="1"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s>
  <pivotHierarchies count="16">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C6F1FC1-C2BB-4BC4-858D-07145ECE15F1}" name="PivotTable16"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2">
    <field x="2"/>
    <field x="1"/>
  </rowFields>
  <rowItems count="3">
    <i>
      <x/>
    </i>
    <i>
      <x v="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64E71FF-48C0-41EB-86ED-819A12793175}" name="PivotTable1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33"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A806536-A4BF-4E5B-9E5B-FA2D253F7C82}" name="PivotTable1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B1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Quantity" fld="1" baseField="0" baseItem="0"/>
  </dataFields>
  <chartFormats count="13">
    <chartFormat chart="0"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3" format="17">
      <pivotArea type="data" outline="0" fieldPosition="0">
        <references count="2">
          <reference field="4294967294" count="1" selected="0">
            <x v="0"/>
          </reference>
          <reference field="0" count="1" selected="0">
            <x v="3"/>
          </reference>
        </references>
      </pivotArea>
    </chartFormat>
    <chartFormat chart="3" format="18">
      <pivotArea type="data" outline="0" fieldPosition="0">
        <references count="2">
          <reference field="4294967294" count="1" selected="0">
            <x v="0"/>
          </reference>
          <reference field="0" count="1" selected="0">
            <x v="4"/>
          </reference>
        </references>
      </pivotArea>
    </chartFormat>
    <chartFormat chart="3" format="19">
      <pivotArea type="data" outline="0" fieldPosition="0">
        <references count="2">
          <reference field="4294967294" count="1" selected="0">
            <x v="0"/>
          </reference>
          <reference field="0" count="1" selected="0">
            <x v="5"/>
          </reference>
        </references>
      </pivotArea>
    </chartFormat>
    <chartFormat chart="3" format="20">
      <pivotArea type="data" outline="0" fieldPosition="0">
        <references count="2">
          <reference field="4294967294" count="1" selected="0">
            <x v="0"/>
          </reference>
          <reference field="0" count="1" selected="0">
            <x v="6"/>
          </reference>
        </references>
      </pivotArea>
    </chartFormat>
    <chartFormat chart="3" format="21">
      <pivotArea type="data" outline="0" fieldPosition="0">
        <references count="2">
          <reference field="4294967294" count="1" selected="0">
            <x v="0"/>
          </reference>
          <reference field="0" count="1" selected="0">
            <x v="7"/>
          </reference>
        </references>
      </pivotArea>
    </chartFormat>
    <chartFormat chart="3" format="22">
      <pivotArea type="data" outline="0" fieldPosition="0">
        <references count="2">
          <reference field="4294967294" count="1" selected="0">
            <x v="0"/>
          </reference>
          <reference field="0" count="1" selected="0">
            <x v="8"/>
          </reference>
        </references>
      </pivotArea>
    </chartFormat>
    <chartFormat chart="3" format="23">
      <pivotArea type="data" outline="0" fieldPosition="0">
        <references count="2">
          <reference field="4294967294" count="1" selected="0">
            <x v="0"/>
          </reference>
          <reference field="0" count="1" selected="0">
            <x v="9"/>
          </reference>
        </references>
      </pivotArea>
    </chartFormat>
    <chartFormat chart="3" format="24">
      <pivotArea type="data" outline="0" fieldPosition="0">
        <references count="2">
          <reference field="4294967294" count="1" selected="0">
            <x v="0"/>
          </reference>
          <reference field="0" count="1" selected="0">
            <x v="1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42794FB-FD59-4292-B0C8-6D7B7C15D022}" name="PivotTable1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B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FAB1B47-54AF-4972-8682-1BCF3F0ABFC0}" name="PivotTable1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ME  LEARNING CAPSTONE messy_restaura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Ordered" xr10:uid="{66B6B5D2-28B0-4214-AFF0-8BADF282C003}" sourceName="[Table1].[Dish Ordered]">
  <pivotTables>
    <pivotTable tabId="28" name="PivotTable17"/>
  </pivotTables>
  <data>
    <olap pivotCacheId="2124925627">
      <levels count="2">
        <level uniqueName="[Table1].[Dish Ordered].[(All)]" sourceCaption="(All)" count="0"/>
        <level uniqueName="[Table1].[Dish Ordered].[Dish Ordered]" sourceCaption="Dish Ordered" count="11">
          <ranges>
            <range startItem="0">
              <i n="[Table1].[Dish Ordered].&amp;[Burger]" c="Burger"/>
              <i n="[Table1].[Dish Ordered].&amp;[Fries]" c="Fries"/>
              <i n="[Table1].[Dish Ordered].&amp;[Not Specified]" c="Not Specified"/>
              <i n="[Table1].[Dish Ordered].&amp;[Nuggets]" c="Nuggets"/>
              <i n="[Table1].[Dish Ordered].&amp;[Pasta]" c="Pasta"/>
              <i n="[Table1].[Dish Ordered].&amp;[Pizza]" c="Pizza"/>
              <i n="[Table1].[Dish Ordered].&amp;[Salad]" c="Salad"/>
              <i n="[Table1].[Dish Ordered].&amp;[Sandwich]" c="Sandwich"/>
              <i n="[Table1].[Dish Ordered].&amp;[Sushi]" c="Sushi"/>
              <i n="[Table1].[Dish Ordered].&amp;[Taco]" c="Taco"/>
              <i n="[Table1].[Dish Ordered].&amp;[Wrap]" c="Wrap"/>
            </range>
          </ranges>
        </level>
      </levels>
      <selections count="1">
        <selection n="[Table1].[Dish Order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3D991E9D-A726-4653-8DB9-60BCB702A2FB}" sourceName="[Table1].[REVENUE]">
  <pivotTables>
    <pivotTable tabId="28" name="PivotTable17"/>
    <pivotTable tabId="23" name="PivotTable12"/>
    <pivotTable tabId="24" name="PivotTable13"/>
    <pivotTable tabId="25" name="PivotTable14"/>
    <pivotTable tabId="26" name="PivotTable15"/>
    <pivotTable tabId="27" name="PivotTable16"/>
  </pivotTables>
  <data>
    <olap pivotCacheId="2124925627">
      <levels count="2">
        <level uniqueName="[Table1].[REVENUE].[(All)]" sourceCaption="(All)" count="0"/>
        <level uniqueName="[Table1].[REVENUE].[REVENUE]" sourceCaption="REVENUE" count="17">
          <ranges>
            <range startItem="0">
              <i n="[Table1].[REVENUE].&amp;[5]" c="5"/>
              <i n="[Table1].[REVENUE].&amp;[10]" c="10"/>
              <i n="[Table1].[REVENUE].&amp;[15]" c="15"/>
              <i n="[Table1].[REVENUE].&amp;[17]" c="17"/>
              <i n="[Table1].[REVENUE].&amp;[20]" c="20"/>
              <i n="[Table1].[REVENUE].&amp;[25]" c="25"/>
              <i n="[Table1].[REVENUE].&amp;[30]" c="30"/>
              <i n="[Table1].[REVENUE].&amp;[40]" c="40"/>
              <i n="[Table1].[REVENUE].&amp;[42]" c="42"/>
              <i n="[Table1].[REVENUE].&amp;[46]" c="46"/>
              <i n="[Table1].[REVENUE].&amp;[50]" c="50"/>
              <i n="[Table1].[REVENUE].&amp;[60]" c="60"/>
              <i n="[Table1].[REVENUE].&amp;[65]" c="65"/>
              <i n="[Table1].[REVENUE].&amp;[75]" c="75"/>
              <i n="[Table1].[REVENUE].&amp;[80]" c="80"/>
              <i n="[Table1].[REVENUE].&amp;[100]" c="100"/>
              <i n="[Table1].[REVENUE].&amp;[125]" c="125"/>
            </range>
          </ranges>
        </level>
      </levels>
      <selections count="1">
        <selection n="[Table1].[REVENU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4E5622F6-B1E2-4C07-B32D-F93EC417AA2A}" sourceName="[Table1].[Restaurant]">
  <pivotTables>
    <pivotTable tabId="28" name="PivotTable17"/>
  </pivotTables>
  <data>
    <olap pivotCacheId="2124925627">
      <levels count="2">
        <level uniqueName="[Table1].[Restaurant].[(All)]" sourceCaption="(All)" count="0"/>
        <level uniqueName="[Table1].[Restaurant].[Restaurant]" sourceCaption="Restaurant" count="6">
          <ranges>
            <range startItem="0">
              <i n="[Table1].[Restaurant].&amp;[Burger King]" c="Burger King"/>
              <i n="[Table1].[Restaurant].&amp;[Dominos]" c="Dominos"/>
              <i n="[Table1].[Restaurant].&amp;[KFC]" c="KFC"/>
              <i n="[Table1].[Restaurant].&amp;[McDonalds]" c="McDonalds"/>
              <i n="[Table1].[Restaurant].&amp;[Not Specified]" c="Not Specified"/>
              <i n="[Table1].[Restaurant].&amp;[Subway]" c="Subway"/>
            </range>
          </ranges>
        </level>
      </levels>
      <selections count="1">
        <selection n="[Table1].[Restaura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h Ordered" xr10:uid="{8708BE2A-0488-43F0-AA76-147BDC0760C2}" cache="Slicer_Dish_Ordered" caption="Dish Ordered" level="1" rowHeight="241300"/>
  <slicer name="REVENUE" xr10:uid="{EDD58922-DFD4-4F1C-8317-3F55F58796B0}" cache="Slicer_REVENUE" caption="REVENUE" startItem="9" level="1" rowHeight="241300"/>
  <slicer name="Restaurant" xr10:uid="{649B02EF-F257-4667-ABAE-739A461D6D4F}" cache="Slicer_Restaurant" caption="Restaura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FD88BA-1B46-4875-8BC1-5CBF1EB291DF}" name="Table1" displayName="Table1" ref="A1:I46" totalsRowShown="0" headerRowDxfId="2">
  <tableColumns count="9">
    <tableColumn id="1" xr3:uid="{6E6D7B91-BA31-4D36-B9C1-610D69C05844}" name="Customer "/>
    <tableColumn id="2" xr3:uid="{32AD70E1-F207-4A8D-8728-64932FB7ED4C}" name="Restaurant"/>
    <tableColumn id="3" xr3:uid="{1F73181F-A264-4E21-9A1A-E60D58C7AAE3}" name="Dish Ordered"/>
    <tableColumn id="4" xr3:uid="{47760339-8B20-4952-A135-3AB01D3ADFCD}" name="Rating"/>
    <tableColumn id="5" xr3:uid="{9F160794-C50D-46B5-B517-E7BA017704A0}" name="Date of Visit" dataDxfId="1"/>
    <tableColumn id="6" xr3:uid="{9B2B0575-E34F-46E1-88AA-4D00D2AE73EF}" name="Feedback"/>
    <tableColumn id="7" xr3:uid="{1CF2BE2E-41B2-49BC-A55C-5A388F6CD90F}" name="Price of Dish Ordered"/>
    <tableColumn id="8" xr3:uid="{E38954C6-CE96-4D05-A5B0-61085808A6F9}" name="Quantity"/>
    <tableColumn id="9" xr3:uid="{098F9C3C-1492-4199-A838-8FC0192355BA}" name="REVENUE" dataDxfId="0">
      <calculatedColumnFormula>Table1[[#This Row],[Price of Dish Ordered]]*Table1[[#This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workbookViewId="0">
      <selection activeCell="J9" sqref="J9"/>
    </sheetView>
  </sheetViews>
  <sheetFormatPr defaultRowHeight="15" x14ac:dyDescent="0.25"/>
  <cols>
    <col min="1" max="1" width="16.28515625" bestFit="1" customWidth="1"/>
    <col min="2" max="2" width="15.42578125" bestFit="1" customWidth="1"/>
    <col min="3" max="3" width="14.7109375" customWidth="1"/>
    <col min="4" max="4" width="9.42578125" bestFit="1" customWidth="1"/>
    <col min="5" max="5" width="12.85546875" customWidth="1"/>
    <col min="6" max="6" width="14.5703125" customWidth="1"/>
    <col min="7" max="7" width="17.42578125" customWidth="1"/>
    <col min="8" max="8" width="12" bestFit="1" customWidth="1"/>
    <col min="10" max="10" width="10.7109375" bestFit="1" customWidth="1"/>
  </cols>
  <sheetData>
    <row r="1" spans="1:10" ht="39" x14ac:dyDescent="0.4">
      <c r="A1" s="2" t="s">
        <v>0</v>
      </c>
      <c r="B1" s="2" t="s">
        <v>1</v>
      </c>
      <c r="C1" s="3" t="s">
        <v>2</v>
      </c>
      <c r="D1" s="2" t="s">
        <v>3</v>
      </c>
      <c r="E1" s="3" t="s">
        <v>4</v>
      </c>
      <c r="F1" s="2" t="s">
        <v>5</v>
      </c>
      <c r="G1" s="3" t="s">
        <v>6</v>
      </c>
      <c r="H1" s="2" t="s">
        <v>7</v>
      </c>
    </row>
    <row r="2" spans="1:10" x14ac:dyDescent="0.25">
      <c r="A2" t="s">
        <v>8</v>
      </c>
      <c r="B2" t="s">
        <v>9</v>
      </c>
      <c r="C2" t="s">
        <v>10</v>
      </c>
      <c r="D2">
        <v>2</v>
      </c>
      <c r="E2" s="1">
        <v>44947</v>
      </c>
      <c r="F2" t="s">
        <v>14</v>
      </c>
      <c r="G2">
        <v>5</v>
      </c>
      <c r="H2">
        <v>4</v>
      </c>
      <c r="J2" s="1"/>
    </row>
    <row r="3" spans="1:10" x14ac:dyDescent="0.25">
      <c r="A3" t="s">
        <v>11</v>
      </c>
      <c r="B3" t="s">
        <v>12</v>
      </c>
      <c r="C3" t="s">
        <v>13</v>
      </c>
      <c r="D3">
        <v>1</v>
      </c>
      <c r="E3" s="1">
        <v>44948</v>
      </c>
      <c r="F3" t="s">
        <v>14</v>
      </c>
      <c r="G3">
        <v>20</v>
      </c>
      <c r="H3">
        <v>3</v>
      </c>
    </row>
    <row r="4" spans="1:10" x14ac:dyDescent="0.25">
      <c r="A4" t="s">
        <v>51</v>
      </c>
      <c r="B4" t="s">
        <v>51</v>
      </c>
      <c r="C4" t="s">
        <v>51</v>
      </c>
      <c r="D4">
        <v>2</v>
      </c>
      <c r="E4" s="1">
        <v>44947</v>
      </c>
      <c r="F4" t="s">
        <v>14</v>
      </c>
      <c r="G4">
        <v>5</v>
      </c>
      <c r="H4">
        <v>1</v>
      </c>
      <c r="J4" s="1"/>
    </row>
    <row r="5" spans="1:10" x14ac:dyDescent="0.25">
      <c r="A5" t="s">
        <v>15</v>
      </c>
      <c r="B5" t="s">
        <v>9</v>
      </c>
      <c r="C5" t="s">
        <v>16</v>
      </c>
      <c r="D5">
        <v>2</v>
      </c>
      <c r="E5" s="1">
        <v>44950</v>
      </c>
      <c r="F5" t="s">
        <v>14</v>
      </c>
      <c r="G5">
        <v>5</v>
      </c>
      <c r="H5">
        <v>1</v>
      </c>
    </row>
    <row r="6" spans="1:10" x14ac:dyDescent="0.25">
      <c r="A6" t="s">
        <v>17</v>
      </c>
      <c r="B6" t="s">
        <v>9</v>
      </c>
      <c r="C6" t="s">
        <v>51</v>
      </c>
      <c r="D6">
        <v>4</v>
      </c>
      <c r="E6" s="1">
        <v>44947</v>
      </c>
      <c r="F6" t="s">
        <v>14</v>
      </c>
      <c r="G6">
        <v>5</v>
      </c>
      <c r="H6">
        <v>1</v>
      </c>
    </row>
    <row r="7" spans="1:10" x14ac:dyDescent="0.25">
      <c r="A7" t="s">
        <v>18</v>
      </c>
      <c r="B7" t="s">
        <v>9</v>
      </c>
      <c r="C7" t="s">
        <v>19</v>
      </c>
      <c r="D7">
        <v>1</v>
      </c>
      <c r="E7" s="1">
        <v>44960</v>
      </c>
      <c r="F7" t="s">
        <v>14</v>
      </c>
      <c r="G7">
        <v>25</v>
      </c>
      <c r="H7">
        <v>5</v>
      </c>
    </row>
    <row r="8" spans="1:10" x14ac:dyDescent="0.25">
      <c r="A8" t="s">
        <v>20</v>
      </c>
      <c r="B8" t="s">
        <v>9</v>
      </c>
      <c r="C8" t="s">
        <v>21</v>
      </c>
      <c r="D8">
        <v>5</v>
      </c>
      <c r="E8" s="1">
        <v>44940</v>
      </c>
      <c r="F8" t="s">
        <v>14</v>
      </c>
      <c r="G8">
        <v>10</v>
      </c>
      <c r="H8">
        <v>4</v>
      </c>
    </row>
    <row r="9" spans="1:10" x14ac:dyDescent="0.25">
      <c r="A9" t="s">
        <v>22</v>
      </c>
      <c r="B9" t="s">
        <v>23</v>
      </c>
      <c r="C9" t="s">
        <v>10</v>
      </c>
      <c r="D9">
        <v>2</v>
      </c>
      <c r="E9" s="1">
        <v>44961</v>
      </c>
      <c r="F9" t="s">
        <v>14</v>
      </c>
      <c r="G9">
        <v>20</v>
      </c>
      <c r="H9">
        <v>5</v>
      </c>
    </row>
    <row r="10" spans="1:10" x14ac:dyDescent="0.25">
      <c r="A10" t="s">
        <v>24</v>
      </c>
      <c r="B10" t="s">
        <v>25</v>
      </c>
      <c r="C10" t="s">
        <v>13</v>
      </c>
      <c r="D10">
        <v>1</v>
      </c>
      <c r="E10" s="1">
        <v>44958</v>
      </c>
      <c r="F10" t="s">
        <v>14</v>
      </c>
      <c r="G10">
        <v>25</v>
      </c>
      <c r="H10">
        <v>4</v>
      </c>
    </row>
    <row r="11" spans="1:10" x14ac:dyDescent="0.25">
      <c r="A11" t="s">
        <v>51</v>
      </c>
      <c r="B11" t="s">
        <v>26</v>
      </c>
      <c r="C11" t="s">
        <v>27</v>
      </c>
      <c r="D11">
        <v>3</v>
      </c>
      <c r="E11" s="1">
        <v>44947</v>
      </c>
      <c r="F11" t="s">
        <v>14</v>
      </c>
      <c r="G11">
        <v>25</v>
      </c>
      <c r="H11">
        <v>5</v>
      </c>
      <c r="J11" s="1"/>
    </row>
    <row r="12" spans="1:10" x14ac:dyDescent="0.25">
      <c r="A12" t="s">
        <v>28</v>
      </c>
      <c r="B12" t="s">
        <v>9</v>
      </c>
      <c r="C12" t="s">
        <v>21</v>
      </c>
      <c r="D12">
        <v>1</v>
      </c>
      <c r="E12" s="1">
        <v>44957</v>
      </c>
      <c r="F12" t="s">
        <v>14</v>
      </c>
      <c r="G12">
        <v>25</v>
      </c>
      <c r="H12">
        <v>5</v>
      </c>
    </row>
    <row r="13" spans="1:10" x14ac:dyDescent="0.25">
      <c r="A13" t="s">
        <v>22</v>
      </c>
      <c r="B13" t="s">
        <v>23</v>
      </c>
      <c r="C13" t="s">
        <v>10</v>
      </c>
      <c r="D13">
        <v>2</v>
      </c>
      <c r="E13" s="1">
        <v>44961</v>
      </c>
      <c r="F13" t="s">
        <v>14</v>
      </c>
      <c r="G13">
        <v>25</v>
      </c>
      <c r="H13">
        <v>3</v>
      </c>
    </row>
    <row r="14" spans="1:10" x14ac:dyDescent="0.25">
      <c r="A14" t="s">
        <v>29</v>
      </c>
      <c r="B14" t="s">
        <v>9</v>
      </c>
      <c r="C14" t="s">
        <v>10</v>
      </c>
      <c r="D14">
        <v>1</v>
      </c>
      <c r="E14" s="1">
        <v>44941</v>
      </c>
      <c r="F14" t="s">
        <v>14</v>
      </c>
      <c r="G14">
        <v>25</v>
      </c>
      <c r="H14">
        <v>5</v>
      </c>
    </row>
    <row r="15" spans="1:10" x14ac:dyDescent="0.25">
      <c r="A15" t="s">
        <v>30</v>
      </c>
      <c r="B15" t="s">
        <v>51</v>
      </c>
      <c r="C15" t="s">
        <v>16</v>
      </c>
      <c r="D15">
        <v>2</v>
      </c>
      <c r="E15" s="1">
        <v>44944</v>
      </c>
      <c r="F15" t="s">
        <v>14</v>
      </c>
      <c r="G15">
        <v>15</v>
      </c>
      <c r="H15">
        <v>2</v>
      </c>
    </row>
    <row r="16" spans="1:10" x14ac:dyDescent="0.25">
      <c r="A16" t="s">
        <v>31</v>
      </c>
      <c r="B16" t="s">
        <v>26</v>
      </c>
      <c r="C16" t="s">
        <v>27</v>
      </c>
      <c r="D16">
        <v>1</v>
      </c>
      <c r="E16" s="1">
        <v>44929</v>
      </c>
      <c r="F16" t="s">
        <v>14</v>
      </c>
      <c r="G16">
        <v>20</v>
      </c>
      <c r="H16">
        <v>3</v>
      </c>
    </row>
    <row r="17" spans="1:10" x14ac:dyDescent="0.25">
      <c r="A17" t="s">
        <v>32</v>
      </c>
      <c r="B17" t="s">
        <v>23</v>
      </c>
      <c r="C17" t="s">
        <v>16</v>
      </c>
      <c r="D17">
        <v>2</v>
      </c>
      <c r="E17" s="1">
        <v>44952</v>
      </c>
      <c r="F17" t="s">
        <v>14</v>
      </c>
      <c r="G17">
        <v>25</v>
      </c>
      <c r="H17">
        <v>5</v>
      </c>
    </row>
    <row r="18" spans="1:10" x14ac:dyDescent="0.25">
      <c r="A18" t="s">
        <v>51</v>
      </c>
      <c r="B18" t="s">
        <v>51</v>
      </c>
      <c r="C18" t="s">
        <v>51</v>
      </c>
      <c r="D18">
        <v>2</v>
      </c>
      <c r="E18" s="1">
        <v>44947</v>
      </c>
      <c r="F18" t="s">
        <v>14</v>
      </c>
      <c r="G18">
        <v>20</v>
      </c>
      <c r="H18">
        <v>1</v>
      </c>
      <c r="J18" s="1"/>
    </row>
    <row r="19" spans="1:10" x14ac:dyDescent="0.25">
      <c r="A19" t="s">
        <v>33</v>
      </c>
      <c r="B19" t="s">
        <v>12</v>
      </c>
      <c r="C19" t="s">
        <v>51</v>
      </c>
      <c r="D19">
        <v>4</v>
      </c>
      <c r="E19" s="1">
        <v>44951</v>
      </c>
      <c r="F19" t="s">
        <v>14</v>
      </c>
      <c r="G19">
        <v>15</v>
      </c>
      <c r="H19">
        <v>2</v>
      </c>
    </row>
    <row r="20" spans="1:10" x14ac:dyDescent="0.25">
      <c r="A20" t="s">
        <v>51</v>
      </c>
      <c r="B20" t="s">
        <v>51</v>
      </c>
      <c r="C20" t="s">
        <v>51</v>
      </c>
      <c r="D20">
        <v>2</v>
      </c>
      <c r="E20" s="1">
        <v>44947</v>
      </c>
      <c r="F20" t="s">
        <v>14</v>
      </c>
      <c r="G20">
        <v>15</v>
      </c>
      <c r="H20">
        <v>2</v>
      </c>
    </row>
    <row r="21" spans="1:10" x14ac:dyDescent="0.25">
      <c r="A21" t="s">
        <v>51</v>
      </c>
      <c r="B21" t="s">
        <v>26</v>
      </c>
      <c r="C21" t="s">
        <v>27</v>
      </c>
      <c r="D21">
        <v>3</v>
      </c>
      <c r="E21" s="1">
        <v>44959</v>
      </c>
      <c r="F21" t="s">
        <v>14</v>
      </c>
      <c r="G21">
        <v>20</v>
      </c>
      <c r="H21">
        <v>2</v>
      </c>
    </row>
    <row r="22" spans="1:10" x14ac:dyDescent="0.25">
      <c r="A22" t="s">
        <v>18</v>
      </c>
      <c r="B22" t="s">
        <v>9</v>
      </c>
      <c r="C22" t="s">
        <v>34</v>
      </c>
      <c r="D22">
        <v>3</v>
      </c>
      <c r="E22" s="1">
        <v>44947</v>
      </c>
      <c r="F22" t="s">
        <v>14</v>
      </c>
      <c r="G22">
        <v>5</v>
      </c>
      <c r="H22">
        <v>3</v>
      </c>
    </row>
    <row r="23" spans="1:10" x14ac:dyDescent="0.25">
      <c r="A23" t="s">
        <v>35</v>
      </c>
      <c r="B23" t="s">
        <v>12</v>
      </c>
      <c r="C23" t="s">
        <v>16</v>
      </c>
      <c r="D23">
        <v>1</v>
      </c>
      <c r="E23" s="1">
        <v>44949</v>
      </c>
      <c r="F23" t="s">
        <v>14</v>
      </c>
      <c r="G23">
        <v>10</v>
      </c>
      <c r="H23">
        <v>5</v>
      </c>
    </row>
    <row r="24" spans="1:10" x14ac:dyDescent="0.25">
      <c r="A24" t="s">
        <v>36</v>
      </c>
      <c r="B24" t="s">
        <v>23</v>
      </c>
      <c r="C24" t="s">
        <v>34</v>
      </c>
      <c r="D24">
        <v>1</v>
      </c>
      <c r="E24" s="1">
        <v>44930</v>
      </c>
      <c r="F24" t="s">
        <v>14</v>
      </c>
      <c r="G24">
        <v>5</v>
      </c>
      <c r="H24">
        <v>3</v>
      </c>
    </row>
    <row r="25" spans="1:10" x14ac:dyDescent="0.25">
      <c r="A25" t="s">
        <v>37</v>
      </c>
      <c r="B25" t="s">
        <v>25</v>
      </c>
      <c r="C25" t="s">
        <v>10</v>
      </c>
      <c r="D25">
        <v>5</v>
      </c>
      <c r="E25" s="1">
        <v>44947</v>
      </c>
      <c r="F25" t="s">
        <v>14</v>
      </c>
      <c r="G25">
        <v>17</v>
      </c>
      <c r="H25">
        <v>1</v>
      </c>
    </row>
    <row r="26" spans="1:10" x14ac:dyDescent="0.25">
      <c r="A26" t="s">
        <v>38</v>
      </c>
      <c r="B26" t="s">
        <v>25</v>
      </c>
      <c r="C26" t="s">
        <v>34</v>
      </c>
      <c r="D26">
        <v>4</v>
      </c>
      <c r="E26" s="1">
        <v>44934</v>
      </c>
      <c r="F26" t="s">
        <v>14</v>
      </c>
      <c r="G26">
        <v>5</v>
      </c>
      <c r="H26">
        <v>1</v>
      </c>
    </row>
    <row r="27" spans="1:10" x14ac:dyDescent="0.25">
      <c r="A27" t="s">
        <v>51</v>
      </c>
      <c r="B27" t="s">
        <v>51</v>
      </c>
      <c r="C27" t="s">
        <v>51</v>
      </c>
      <c r="D27">
        <v>2</v>
      </c>
      <c r="E27" s="1">
        <v>44947</v>
      </c>
      <c r="F27" t="s">
        <v>14</v>
      </c>
      <c r="G27">
        <v>25</v>
      </c>
      <c r="H27">
        <v>3</v>
      </c>
    </row>
    <row r="28" spans="1:10" x14ac:dyDescent="0.25">
      <c r="A28" t="s">
        <v>15</v>
      </c>
      <c r="B28" t="s">
        <v>51</v>
      </c>
      <c r="C28" t="s">
        <v>19</v>
      </c>
      <c r="D28">
        <v>1</v>
      </c>
      <c r="E28" s="1">
        <v>44946</v>
      </c>
      <c r="F28" t="s">
        <v>14</v>
      </c>
      <c r="G28">
        <v>15</v>
      </c>
      <c r="H28">
        <v>1</v>
      </c>
    </row>
    <row r="29" spans="1:10" x14ac:dyDescent="0.25">
      <c r="A29" t="s">
        <v>11</v>
      </c>
      <c r="B29" t="s">
        <v>12</v>
      </c>
      <c r="C29" t="s">
        <v>13</v>
      </c>
      <c r="D29">
        <v>1</v>
      </c>
      <c r="E29" s="1">
        <v>44948</v>
      </c>
      <c r="F29" t="s">
        <v>14</v>
      </c>
      <c r="G29">
        <v>5</v>
      </c>
      <c r="H29">
        <v>3</v>
      </c>
    </row>
    <row r="30" spans="1:10" x14ac:dyDescent="0.25">
      <c r="A30" t="s">
        <v>29</v>
      </c>
      <c r="B30" t="s">
        <v>23</v>
      </c>
      <c r="C30" t="s">
        <v>34</v>
      </c>
      <c r="D30">
        <v>4</v>
      </c>
      <c r="E30" s="1">
        <v>44927</v>
      </c>
      <c r="F30" t="s">
        <v>14</v>
      </c>
      <c r="G30">
        <v>13</v>
      </c>
      <c r="H30">
        <v>5</v>
      </c>
    </row>
    <row r="31" spans="1:10" x14ac:dyDescent="0.25">
      <c r="A31" t="s">
        <v>51</v>
      </c>
      <c r="B31" t="s">
        <v>12</v>
      </c>
      <c r="C31" t="s">
        <v>39</v>
      </c>
      <c r="D31">
        <v>3</v>
      </c>
      <c r="E31" s="1">
        <v>44945</v>
      </c>
      <c r="F31" t="s">
        <v>14</v>
      </c>
      <c r="G31">
        <v>23</v>
      </c>
      <c r="H31">
        <v>2</v>
      </c>
    </row>
    <row r="32" spans="1:10" x14ac:dyDescent="0.25">
      <c r="A32" t="s">
        <v>40</v>
      </c>
      <c r="B32" t="s">
        <v>9</v>
      </c>
      <c r="C32" t="s">
        <v>10</v>
      </c>
      <c r="D32">
        <v>3</v>
      </c>
      <c r="E32" s="1">
        <v>44942</v>
      </c>
      <c r="F32" t="s">
        <v>14</v>
      </c>
      <c r="G32">
        <v>10</v>
      </c>
      <c r="H32">
        <v>1</v>
      </c>
    </row>
    <row r="33" spans="1:8" x14ac:dyDescent="0.25">
      <c r="A33" t="s">
        <v>38</v>
      </c>
      <c r="B33" t="s">
        <v>25</v>
      </c>
      <c r="C33" t="s">
        <v>34</v>
      </c>
      <c r="D33">
        <v>4</v>
      </c>
      <c r="E33" s="1">
        <v>44934</v>
      </c>
      <c r="F33" t="s">
        <v>14</v>
      </c>
      <c r="G33">
        <v>20</v>
      </c>
      <c r="H33">
        <v>3</v>
      </c>
    </row>
    <row r="34" spans="1:8" x14ac:dyDescent="0.25">
      <c r="A34" t="s">
        <v>51</v>
      </c>
      <c r="B34" t="s">
        <v>12</v>
      </c>
      <c r="C34" t="s">
        <v>39</v>
      </c>
      <c r="D34">
        <v>3</v>
      </c>
      <c r="E34" s="1">
        <v>44945</v>
      </c>
      <c r="F34" t="s">
        <v>14</v>
      </c>
      <c r="G34">
        <v>20</v>
      </c>
      <c r="H34">
        <v>3</v>
      </c>
    </row>
    <row r="35" spans="1:8" x14ac:dyDescent="0.25">
      <c r="A35" t="s">
        <v>41</v>
      </c>
      <c r="B35" t="s">
        <v>9</v>
      </c>
      <c r="C35" t="s">
        <v>42</v>
      </c>
      <c r="D35">
        <v>2</v>
      </c>
      <c r="E35" s="1">
        <v>44955</v>
      </c>
      <c r="F35" t="s">
        <v>14</v>
      </c>
      <c r="G35">
        <v>25</v>
      </c>
      <c r="H35">
        <v>1</v>
      </c>
    </row>
    <row r="36" spans="1:8" x14ac:dyDescent="0.25">
      <c r="A36" t="s">
        <v>43</v>
      </c>
      <c r="B36" t="s">
        <v>26</v>
      </c>
      <c r="C36" t="s">
        <v>51</v>
      </c>
      <c r="D36">
        <v>1</v>
      </c>
      <c r="E36" s="1">
        <v>44931</v>
      </c>
      <c r="F36" t="s">
        <v>14</v>
      </c>
      <c r="G36">
        <v>10</v>
      </c>
      <c r="H36">
        <v>3</v>
      </c>
    </row>
    <row r="37" spans="1:8" x14ac:dyDescent="0.25">
      <c r="A37" t="s">
        <v>43</v>
      </c>
      <c r="B37" t="s">
        <v>51</v>
      </c>
      <c r="C37" t="s">
        <v>44</v>
      </c>
      <c r="D37">
        <v>1</v>
      </c>
      <c r="E37" s="1">
        <v>44928</v>
      </c>
      <c r="F37" t="s">
        <v>14</v>
      </c>
      <c r="G37">
        <v>20</v>
      </c>
      <c r="H37">
        <v>1</v>
      </c>
    </row>
    <row r="38" spans="1:8" x14ac:dyDescent="0.25">
      <c r="A38" t="s">
        <v>45</v>
      </c>
      <c r="B38" t="s">
        <v>26</v>
      </c>
      <c r="C38" t="s">
        <v>34</v>
      </c>
      <c r="D38">
        <v>2</v>
      </c>
      <c r="E38" s="1">
        <v>44953</v>
      </c>
      <c r="F38" t="s">
        <v>14</v>
      </c>
      <c r="G38">
        <v>20</v>
      </c>
      <c r="H38">
        <v>2</v>
      </c>
    </row>
    <row r="39" spans="1:8" x14ac:dyDescent="0.25">
      <c r="A39" t="s">
        <v>51</v>
      </c>
      <c r="B39" t="s">
        <v>51</v>
      </c>
      <c r="C39" t="s">
        <v>51</v>
      </c>
      <c r="D39">
        <v>2</v>
      </c>
      <c r="E39" s="1">
        <v>44947</v>
      </c>
      <c r="F39" t="s">
        <v>14</v>
      </c>
      <c r="G39">
        <v>10</v>
      </c>
      <c r="H39">
        <v>1</v>
      </c>
    </row>
    <row r="40" spans="1:8" x14ac:dyDescent="0.25">
      <c r="A40" t="s">
        <v>51</v>
      </c>
      <c r="B40" t="s">
        <v>23</v>
      </c>
      <c r="C40" t="s">
        <v>16</v>
      </c>
      <c r="D40">
        <v>1</v>
      </c>
      <c r="E40" s="1">
        <v>44939</v>
      </c>
      <c r="F40" t="s">
        <v>14</v>
      </c>
      <c r="G40">
        <v>14</v>
      </c>
      <c r="H40">
        <v>3</v>
      </c>
    </row>
    <row r="41" spans="1:8" x14ac:dyDescent="0.25">
      <c r="A41" t="s">
        <v>46</v>
      </c>
      <c r="B41" t="s">
        <v>25</v>
      </c>
      <c r="C41" t="s">
        <v>13</v>
      </c>
      <c r="D41">
        <v>1</v>
      </c>
      <c r="E41" s="1">
        <v>44933</v>
      </c>
      <c r="F41" t="s">
        <v>14</v>
      </c>
      <c r="G41">
        <v>20</v>
      </c>
      <c r="H41">
        <v>1</v>
      </c>
    </row>
    <row r="42" spans="1:8" x14ac:dyDescent="0.25">
      <c r="A42" t="s">
        <v>20</v>
      </c>
      <c r="B42" t="s">
        <v>9</v>
      </c>
      <c r="C42" t="s">
        <v>21</v>
      </c>
      <c r="D42">
        <v>5</v>
      </c>
      <c r="E42" s="1">
        <v>44940</v>
      </c>
      <c r="F42" t="s">
        <v>14</v>
      </c>
      <c r="G42">
        <v>10</v>
      </c>
      <c r="H42">
        <v>5</v>
      </c>
    </row>
    <row r="43" spans="1:8" x14ac:dyDescent="0.25">
      <c r="A43" t="s">
        <v>47</v>
      </c>
      <c r="B43" t="s">
        <v>9</v>
      </c>
      <c r="C43" t="s">
        <v>34</v>
      </c>
      <c r="D43">
        <v>2</v>
      </c>
      <c r="E43" s="1">
        <v>44943</v>
      </c>
      <c r="F43" t="s">
        <v>14</v>
      </c>
      <c r="G43">
        <v>20</v>
      </c>
      <c r="H43">
        <v>4</v>
      </c>
    </row>
    <row r="44" spans="1:8" x14ac:dyDescent="0.25">
      <c r="A44" t="s">
        <v>48</v>
      </c>
      <c r="B44" t="s">
        <v>51</v>
      </c>
      <c r="C44" t="s">
        <v>13</v>
      </c>
      <c r="D44">
        <v>1</v>
      </c>
      <c r="E44" s="1">
        <v>44936</v>
      </c>
      <c r="F44" t="s">
        <v>14</v>
      </c>
      <c r="G44">
        <v>20</v>
      </c>
      <c r="H44">
        <v>1</v>
      </c>
    </row>
    <row r="45" spans="1:8" x14ac:dyDescent="0.25">
      <c r="A45" t="s">
        <v>49</v>
      </c>
      <c r="B45" t="s">
        <v>25</v>
      </c>
      <c r="C45" t="s">
        <v>39</v>
      </c>
      <c r="D45">
        <v>5</v>
      </c>
      <c r="E45" s="1">
        <v>44935</v>
      </c>
      <c r="F45" t="s">
        <v>14</v>
      </c>
      <c r="G45">
        <v>25</v>
      </c>
      <c r="H45">
        <v>5</v>
      </c>
    </row>
    <row r="46" spans="1:8" x14ac:dyDescent="0.25">
      <c r="A46" t="s">
        <v>50</v>
      </c>
      <c r="B46" t="s">
        <v>23</v>
      </c>
      <c r="C46" t="s">
        <v>51</v>
      </c>
      <c r="D46">
        <v>3</v>
      </c>
      <c r="E46" s="1">
        <v>44938</v>
      </c>
      <c r="F46" t="s">
        <v>14</v>
      </c>
      <c r="G46">
        <v>5</v>
      </c>
      <c r="H46">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8A92-996D-4140-A14D-97269F840CB2}">
  <dimension ref="A2:B5"/>
  <sheetViews>
    <sheetView zoomScale="130" zoomScaleNormal="130" workbookViewId="0">
      <selection activeCell="R17" sqref="R17"/>
    </sheetView>
  </sheetViews>
  <sheetFormatPr defaultRowHeight="15" x14ac:dyDescent="0.25"/>
  <cols>
    <col min="1" max="1" width="13.140625" bestFit="1" customWidth="1"/>
    <col min="2" max="2" width="15.42578125" bestFit="1" customWidth="1"/>
    <col min="3" max="3" width="27" bestFit="1" customWidth="1"/>
    <col min="4" max="5" width="13.140625" bestFit="1" customWidth="1"/>
    <col min="6" max="6" width="15.42578125" bestFit="1" customWidth="1"/>
    <col min="7" max="7" width="13.140625" bestFit="1" customWidth="1"/>
    <col min="8" max="8" width="16.85546875" bestFit="1" customWidth="1"/>
    <col min="9" max="9" width="15.42578125" bestFit="1" customWidth="1"/>
    <col min="10" max="10" width="5.28515625" bestFit="1" customWidth="1"/>
    <col min="11" max="11" width="13.140625" bestFit="1" customWidth="1"/>
    <col min="12" max="12" width="27" bestFit="1" customWidth="1"/>
    <col min="13" max="13" width="15.42578125" bestFit="1" customWidth="1"/>
    <col min="14" max="14" width="5.42578125" bestFit="1" customWidth="1"/>
    <col min="15" max="15" width="5.7109375" bestFit="1" customWidth="1"/>
    <col min="16" max="16" width="9.42578125" bestFit="1" customWidth="1"/>
    <col min="17" max="17" width="5.7109375" bestFit="1" customWidth="1"/>
    <col min="18" max="18" width="5" bestFit="1" customWidth="1"/>
    <col min="19" max="19" width="5.85546875" bestFit="1" customWidth="1"/>
    <col min="20" max="20" width="11.28515625" bestFit="1" customWidth="1"/>
    <col min="21" max="21" width="11" bestFit="1" customWidth="1"/>
    <col min="22" max="22" width="13.5703125" bestFit="1" customWidth="1"/>
    <col min="23" max="23" width="10.85546875" bestFit="1" customWidth="1"/>
    <col min="24" max="24" width="13.42578125" bestFit="1" customWidth="1"/>
    <col min="25" max="25" width="11" bestFit="1" customWidth="1"/>
    <col min="26" max="26" width="14.140625" bestFit="1" customWidth="1"/>
    <col min="27" max="27" width="11.140625" bestFit="1" customWidth="1"/>
    <col min="28" max="28" width="14.140625" bestFit="1" customWidth="1"/>
    <col min="29" max="29" width="16" bestFit="1" customWidth="1"/>
    <col min="30" max="30" width="16.5703125" bestFit="1" customWidth="1"/>
    <col min="31" max="31" width="13.140625" bestFit="1" customWidth="1"/>
    <col min="32" max="32" width="11.28515625" bestFit="1" customWidth="1"/>
    <col min="33" max="33" width="11.7109375" bestFit="1" customWidth="1"/>
    <col min="34" max="34" width="15.28515625" bestFit="1" customWidth="1"/>
    <col min="35" max="35" width="14.28515625" bestFit="1" customWidth="1"/>
    <col min="36" max="36" width="11.28515625" bestFit="1" customWidth="1"/>
  </cols>
  <sheetData>
    <row r="2" spans="1:2" x14ac:dyDescent="0.25">
      <c r="A2" t="s">
        <v>60</v>
      </c>
    </row>
    <row r="3" spans="1:2" x14ac:dyDescent="0.25">
      <c r="A3" s="6" t="s">
        <v>55</v>
      </c>
      <c r="B3" t="s">
        <v>53</v>
      </c>
    </row>
    <row r="4" spans="1:2" x14ac:dyDescent="0.25">
      <c r="A4" s="8" t="s">
        <v>16</v>
      </c>
      <c r="B4" s="7">
        <v>16</v>
      </c>
    </row>
    <row r="5" spans="1:2" x14ac:dyDescent="0.25">
      <c r="A5" s="8" t="s">
        <v>52</v>
      </c>
      <c r="B5" s="7">
        <v>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D368-E3C2-4C21-8F0B-A39E40F07E29}">
  <dimension ref="A1:C9"/>
  <sheetViews>
    <sheetView workbookViewId="0">
      <selection activeCell="N19" sqref="N19"/>
    </sheetView>
  </sheetViews>
  <sheetFormatPr defaultRowHeight="15" x14ac:dyDescent="0.25"/>
  <cols>
    <col min="1" max="1" width="13.140625" bestFit="1" customWidth="1"/>
    <col min="2" max="2" width="27" bestFit="1" customWidth="1"/>
    <col min="3" max="3" width="15.42578125" bestFit="1" customWidth="1"/>
  </cols>
  <sheetData>
    <row r="1" spans="1:3" x14ac:dyDescent="0.25">
      <c r="A1" t="s">
        <v>66</v>
      </c>
    </row>
    <row r="2" spans="1:3" x14ac:dyDescent="0.25">
      <c r="A2" s="6" t="s">
        <v>55</v>
      </c>
      <c r="B2" t="s">
        <v>56</v>
      </c>
      <c r="C2" t="s">
        <v>53</v>
      </c>
    </row>
    <row r="3" spans="1:3" x14ac:dyDescent="0.25">
      <c r="A3" s="8" t="s">
        <v>12</v>
      </c>
      <c r="B3" s="7">
        <v>93</v>
      </c>
      <c r="C3" s="7">
        <v>18</v>
      </c>
    </row>
    <row r="4" spans="1:3" x14ac:dyDescent="0.25">
      <c r="A4" s="8" t="s">
        <v>23</v>
      </c>
      <c r="B4" s="7">
        <v>107</v>
      </c>
      <c r="C4" s="7">
        <v>29</v>
      </c>
    </row>
    <row r="5" spans="1:3" x14ac:dyDescent="0.25">
      <c r="A5" s="8" t="s">
        <v>26</v>
      </c>
      <c r="B5" s="7">
        <v>95</v>
      </c>
      <c r="C5" s="7">
        <v>15</v>
      </c>
    </row>
    <row r="6" spans="1:3" x14ac:dyDescent="0.25">
      <c r="A6" s="8" t="s">
        <v>9</v>
      </c>
      <c r="B6" s="7">
        <v>170</v>
      </c>
      <c r="C6" s="7">
        <v>39</v>
      </c>
    </row>
    <row r="7" spans="1:3" x14ac:dyDescent="0.25">
      <c r="A7" s="8" t="s">
        <v>51</v>
      </c>
      <c r="B7" s="7">
        <v>145</v>
      </c>
      <c r="C7" s="7">
        <v>13</v>
      </c>
    </row>
    <row r="8" spans="1:3" x14ac:dyDescent="0.25">
      <c r="A8" s="8" t="s">
        <v>25</v>
      </c>
      <c r="B8" s="7">
        <v>112</v>
      </c>
      <c r="C8" s="7">
        <v>15</v>
      </c>
    </row>
    <row r="9" spans="1:3" x14ac:dyDescent="0.25">
      <c r="A9" s="8" t="s">
        <v>52</v>
      </c>
      <c r="B9" s="7">
        <v>722</v>
      </c>
      <c r="C9" s="7">
        <v>129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D608-EAA9-4BA0-ACBC-CB8E5FE5F12A}">
  <dimension ref="C4:M17"/>
  <sheetViews>
    <sheetView showGridLines="0" zoomScale="80" zoomScaleNormal="80" workbookViewId="0">
      <selection activeCell="E30" sqref="E30"/>
    </sheetView>
  </sheetViews>
  <sheetFormatPr defaultRowHeight="15" x14ac:dyDescent="0.25"/>
  <sheetData>
    <row r="4" spans="3:13" ht="22.5" x14ac:dyDescent="0.45">
      <c r="C4" s="20">
        <f>GETPIVOTDATA("[Measures].[Sum of REVENUE]",'CHART 1'!$A$3)</f>
        <v>2180</v>
      </c>
      <c r="H4" s="21">
        <f>GETPIVOTDATA("[Measures].[Sum of REVENUE]",'CHART 2'!$A$2)</f>
        <v>2180</v>
      </c>
      <c r="M4" s="22">
        <f>GETPIVOTDATA("[Measures].[Sum of Quantity]",'CHART 3'!$A$4)</f>
        <v>129</v>
      </c>
    </row>
    <row r="17" spans="3:13" ht="22.5" x14ac:dyDescent="0.45">
      <c r="C17" s="23">
        <f>GETPIVOTDATA("[Measures].[Sum of REVENUE]",'CHART 4'!$A$4)</f>
        <v>2180</v>
      </c>
      <c r="H17" s="21">
        <f>GETPIVOTDATA("[Measures].[Sum of REVENUE]",'CHART 5'!$A$4)</f>
        <v>2180</v>
      </c>
      <c r="M17" s="21">
        <f>GETPIVOTDATA("[Measures].[Sum of Price of Dish Ordered]",'CHART 6'!$A$4)</f>
        <v>722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02E9-9126-43C9-87B4-72AC309008F1}">
  <dimension ref="A1:B11"/>
  <sheetViews>
    <sheetView topLeftCell="A31" workbookViewId="0">
      <selection activeCell="B36" sqref="B36"/>
    </sheetView>
  </sheetViews>
  <sheetFormatPr defaultRowHeight="15" x14ac:dyDescent="0.25"/>
  <cols>
    <col min="1" max="1" width="15" bestFit="1" customWidth="1"/>
    <col min="2" max="2" width="15.42578125" bestFit="1" customWidth="1"/>
  </cols>
  <sheetData>
    <row r="1" spans="1:2" x14ac:dyDescent="0.25">
      <c r="A1" t="s">
        <v>65</v>
      </c>
    </row>
    <row r="2" spans="1:2" x14ac:dyDescent="0.25">
      <c r="A2" s="6" t="s">
        <v>55</v>
      </c>
      <c r="B2" t="s">
        <v>53</v>
      </c>
    </row>
    <row r="3" spans="1:2" x14ac:dyDescent="0.25">
      <c r="A3" s="8" t="s">
        <v>12</v>
      </c>
      <c r="B3" s="7">
        <v>5</v>
      </c>
    </row>
    <row r="4" spans="1:2" x14ac:dyDescent="0.25">
      <c r="A4" s="9" t="s">
        <v>16</v>
      </c>
      <c r="B4" s="7">
        <v>5</v>
      </c>
    </row>
    <row r="5" spans="1:2" x14ac:dyDescent="0.25">
      <c r="A5" s="8" t="s">
        <v>23</v>
      </c>
      <c r="B5" s="7">
        <v>8</v>
      </c>
    </row>
    <row r="6" spans="1:2" x14ac:dyDescent="0.25">
      <c r="A6" s="9" t="s">
        <v>16</v>
      </c>
      <c r="B6" s="7">
        <v>8</v>
      </c>
    </row>
    <row r="7" spans="1:2" x14ac:dyDescent="0.25">
      <c r="A7" s="8" t="s">
        <v>9</v>
      </c>
      <c r="B7" s="7">
        <v>1</v>
      </c>
    </row>
    <row r="8" spans="1:2" x14ac:dyDescent="0.25">
      <c r="A8" s="9" t="s">
        <v>16</v>
      </c>
      <c r="B8" s="7">
        <v>1</v>
      </c>
    </row>
    <row r="9" spans="1:2" x14ac:dyDescent="0.25">
      <c r="A9" s="8" t="s">
        <v>51</v>
      </c>
      <c r="B9" s="7">
        <v>2</v>
      </c>
    </row>
    <row r="10" spans="1:2" x14ac:dyDescent="0.25">
      <c r="A10" s="9" t="s">
        <v>16</v>
      </c>
      <c r="B10" s="7">
        <v>2</v>
      </c>
    </row>
    <row r="11" spans="1:2" x14ac:dyDescent="0.25">
      <c r="A11" s="8" t="s">
        <v>52</v>
      </c>
      <c r="B11" s="7">
        <v>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62B3-0D2D-467D-B7F8-7873F1E352E2}">
  <dimension ref="A1:B9"/>
  <sheetViews>
    <sheetView workbookViewId="0">
      <selection activeCell="B6" sqref="B6"/>
    </sheetView>
  </sheetViews>
  <sheetFormatPr defaultRowHeight="15" x14ac:dyDescent="0.25"/>
  <cols>
    <col min="1" max="1" width="13.140625" bestFit="1" customWidth="1"/>
    <col min="2" max="2" width="15.42578125" bestFit="1" customWidth="1"/>
  </cols>
  <sheetData>
    <row r="1" spans="1:2" x14ac:dyDescent="0.25">
      <c r="A1" t="s">
        <v>64</v>
      </c>
    </row>
    <row r="2" spans="1:2" x14ac:dyDescent="0.25">
      <c r="A2" s="6" t="s">
        <v>55</v>
      </c>
      <c r="B2" t="s">
        <v>53</v>
      </c>
    </row>
    <row r="3" spans="1:2" x14ac:dyDescent="0.25">
      <c r="A3" s="8" t="s">
        <v>12</v>
      </c>
      <c r="B3" s="7">
        <v>18</v>
      </c>
    </row>
    <row r="4" spans="1:2" x14ac:dyDescent="0.25">
      <c r="A4" s="8" t="s">
        <v>23</v>
      </c>
      <c r="B4" s="7">
        <v>29</v>
      </c>
    </row>
    <row r="5" spans="1:2" x14ac:dyDescent="0.25">
      <c r="A5" s="8" t="s">
        <v>26</v>
      </c>
      <c r="B5" s="7">
        <v>15</v>
      </c>
    </row>
    <row r="6" spans="1:2" x14ac:dyDescent="0.25">
      <c r="A6" s="8" t="s">
        <v>9</v>
      </c>
      <c r="B6" s="7">
        <v>39</v>
      </c>
    </row>
    <row r="7" spans="1:2" x14ac:dyDescent="0.25">
      <c r="A7" s="8" t="s">
        <v>51</v>
      </c>
      <c r="B7" s="7">
        <v>13</v>
      </c>
    </row>
    <row r="8" spans="1:2" x14ac:dyDescent="0.25">
      <c r="A8" s="8" t="s">
        <v>25</v>
      </c>
      <c r="B8" s="7">
        <v>15</v>
      </c>
    </row>
    <row r="9" spans="1:2" x14ac:dyDescent="0.25">
      <c r="A9" s="8" t="s">
        <v>52</v>
      </c>
      <c r="B9" s="7">
        <v>129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59B9-0C62-462B-AE8C-91A693A74E02}">
  <dimension ref="A1:C4"/>
  <sheetViews>
    <sheetView workbookViewId="0">
      <selection activeCell="I5" sqref="I5"/>
    </sheetView>
  </sheetViews>
  <sheetFormatPr defaultRowHeight="15" x14ac:dyDescent="0.25"/>
  <cols>
    <col min="1" max="1" width="13.140625" bestFit="1" customWidth="1"/>
    <col min="2" max="2" width="15.42578125" bestFit="1" customWidth="1"/>
    <col min="3" max="3" width="27" bestFit="1" customWidth="1"/>
  </cols>
  <sheetData>
    <row r="1" spans="1:3" x14ac:dyDescent="0.25">
      <c r="A1" t="s">
        <v>63</v>
      </c>
    </row>
    <row r="2" spans="1:3" x14ac:dyDescent="0.25">
      <c r="A2" s="6" t="s">
        <v>55</v>
      </c>
      <c r="B2" t="s">
        <v>53</v>
      </c>
      <c r="C2" t="s">
        <v>56</v>
      </c>
    </row>
    <row r="3" spans="1:3" x14ac:dyDescent="0.25">
      <c r="A3" s="8" t="s">
        <v>16</v>
      </c>
      <c r="B3" s="7">
        <v>16</v>
      </c>
      <c r="C3" s="7">
        <v>69</v>
      </c>
    </row>
    <row r="4" spans="1:3" x14ac:dyDescent="0.25">
      <c r="A4" s="8" t="s">
        <v>52</v>
      </c>
      <c r="B4" s="7">
        <v>16</v>
      </c>
      <c r="C4" s="7">
        <v>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4826-892C-45C2-9664-9098BD0717D0}">
  <dimension ref="A1:B4"/>
  <sheetViews>
    <sheetView workbookViewId="0">
      <selection activeCell="I10" sqref="I10"/>
    </sheetView>
  </sheetViews>
  <sheetFormatPr defaultRowHeight="15" x14ac:dyDescent="0.25"/>
  <cols>
    <col min="1" max="1" width="13.140625" bestFit="1" customWidth="1"/>
    <col min="2" max="2" width="27" bestFit="1" customWidth="1"/>
  </cols>
  <sheetData>
    <row r="1" spans="1:2" x14ac:dyDescent="0.25">
      <c r="A1" t="s">
        <v>62</v>
      </c>
    </row>
    <row r="2" spans="1:2" x14ac:dyDescent="0.25">
      <c r="A2" s="6" t="s">
        <v>55</v>
      </c>
      <c r="B2" t="s">
        <v>56</v>
      </c>
    </row>
    <row r="3" spans="1:2" x14ac:dyDescent="0.25">
      <c r="A3" s="8" t="s">
        <v>16</v>
      </c>
      <c r="B3" s="7">
        <v>69</v>
      </c>
    </row>
    <row r="4" spans="1:2" x14ac:dyDescent="0.25">
      <c r="A4" s="8" t="s">
        <v>52</v>
      </c>
      <c r="B4" s="7">
        <v>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AE0A3-09B3-410B-89EF-B7D4591058A9}">
  <dimension ref="A1:B4"/>
  <sheetViews>
    <sheetView workbookViewId="0">
      <selection activeCell="B4" sqref="B4"/>
    </sheetView>
  </sheetViews>
  <sheetFormatPr defaultRowHeight="15" x14ac:dyDescent="0.25"/>
  <cols>
    <col min="1" max="1" width="13.140625" bestFit="1" customWidth="1"/>
    <col min="2" max="2" width="27" bestFit="1" customWidth="1"/>
  </cols>
  <sheetData>
    <row r="1" spans="1:2" x14ac:dyDescent="0.25">
      <c r="A1" t="s">
        <v>61</v>
      </c>
    </row>
    <row r="2" spans="1:2" x14ac:dyDescent="0.25">
      <c r="A2" s="6" t="s">
        <v>55</v>
      </c>
      <c r="B2" t="s">
        <v>56</v>
      </c>
    </row>
    <row r="3" spans="1:2" x14ac:dyDescent="0.25">
      <c r="A3" s="8" t="s">
        <v>16</v>
      </c>
      <c r="B3" s="7">
        <v>69</v>
      </c>
    </row>
    <row r="4" spans="1:2" x14ac:dyDescent="0.25">
      <c r="A4" s="8" t="s">
        <v>52</v>
      </c>
      <c r="B4" s="7">
        <v>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13DE-E5A3-44FB-ACB5-858BC5579942}">
  <dimension ref="A2:M30"/>
  <sheetViews>
    <sheetView topLeftCell="A10" workbookViewId="0">
      <selection activeCell="J18" sqref="J18"/>
    </sheetView>
  </sheetViews>
  <sheetFormatPr defaultRowHeight="15" x14ac:dyDescent="0.25"/>
  <cols>
    <col min="1" max="1" width="13.140625" bestFit="1" customWidth="1"/>
    <col min="2" max="2" width="16.85546875" bestFit="1" customWidth="1"/>
    <col min="3" max="3" width="3.85546875" customWidth="1"/>
    <col min="4" max="4" width="3.42578125" customWidth="1"/>
    <col min="5" max="5" width="13.140625" bestFit="1" customWidth="1"/>
    <col min="6" max="6" width="27" bestFit="1" customWidth="1"/>
    <col min="7" max="7" width="7.7109375" customWidth="1"/>
    <col min="8" max="8" width="13.140625" bestFit="1" customWidth="1"/>
    <col min="9" max="9" width="30.5703125" bestFit="1" customWidth="1"/>
    <col min="10" max="10" width="9.7109375" customWidth="1"/>
    <col min="11" max="11" width="13.140625" bestFit="1" customWidth="1"/>
    <col min="12" max="12" width="26.7109375" bestFit="1" customWidth="1"/>
    <col min="13" max="13" width="16.85546875" bestFit="1" customWidth="1"/>
    <col min="14" max="16" width="3" bestFit="1" customWidth="1"/>
    <col min="17" max="17" width="11.28515625" bestFit="1" customWidth="1"/>
    <col min="18" max="37" width="16.28515625" bestFit="1" customWidth="1"/>
    <col min="38" max="38" width="8.7109375" bestFit="1" customWidth="1"/>
    <col min="39" max="42" width="7" bestFit="1" customWidth="1"/>
    <col min="44" max="44" width="11.28515625" bestFit="1" customWidth="1"/>
  </cols>
  <sheetData>
    <row r="2" spans="1:13" x14ac:dyDescent="0.25">
      <c r="A2" s="5" t="s">
        <v>67</v>
      </c>
      <c r="B2" s="5"/>
      <c r="E2" s="24" t="s">
        <v>68</v>
      </c>
      <c r="F2" s="24"/>
      <c r="H2" s="24" t="s">
        <v>69</v>
      </c>
      <c r="I2" s="24"/>
      <c r="K2" s="24" t="s">
        <v>73</v>
      </c>
      <c r="L2" s="24"/>
    </row>
    <row r="3" spans="1:13" x14ac:dyDescent="0.25">
      <c r="A3" s="6" t="s">
        <v>55</v>
      </c>
      <c r="B3" t="s">
        <v>54</v>
      </c>
      <c r="E3" s="6" t="s">
        <v>55</v>
      </c>
      <c r="F3" t="s">
        <v>56</v>
      </c>
      <c r="H3" s="6" t="s">
        <v>55</v>
      </c>
      <c r="I3" t="s">
        <v>57</v>
      </c>
      <c r="K3" s="6" t="s">
        <v>55</v>
      </c>
      <c r="L3" t="s">
        <v>58</v>
      </c>
      <c r="M3" t="s">
        <v>54</v>
      </c>
    </row>
    <row r="4" spans="1:13" x14ac:dyDescent="0.25">
      <c r="A4" s="8" t="s">
        <v>39</v>
      </c>
      <c r="B4" s="7">
        <v>3</v>
      </c>
      <c r="E4" s="8" t="s">
        <v>39</v>
      </c>
      <c r="F4" s="7">
        <v>68</v>
      </c>
      <c r="H4" s="8" t="s">
        <v>39</v>
      </c>
      <c r="I4" s="7">
        <v>22.666666666666668</v>
      </c>
      <c r="K4" s="8" t="s">
        <v>39</v>
      </c>
      <c r="L4" s="7">
        <v>25</v>
      </c>
      <c r="M4" s="7">
        <v>3</v>
      </c>
    </row>
    <row r="5" spans="1:13" x14ac:dyDescent="0.25">
      <c r="A5" s="8" t="s">
        <v>16</v>
      </c>
      <c r="B5" s="7">
        <v>5</v>
      </c>
      <c r="E5" s="8" t="s">
        <v>16</v>
      </c>
      <c r="F5" s="7">
        <v>69</v>
      </c>
      <c r="H5" s="8" t="s">
        <v>16</v>
      </c>
      <c r="I5" s="7">
        <v>13.8</v>
      </c>
      <c r="K5" s="8" t="s">
        <v>16</v>
      </c>
      <c r="L5" s="7">
        <v>25</v>
      </c>
      <c r="M5" s="7">
        <v>5</v>
      </c>
    </row>
    <row r="6" spans="1:13" x14ac:dyDescent="0.25">
      <c r="A6" s="8" t="s">
        <v>51</v>
      </c>
      <c r="B6" s="7">
        <v>9</v>
      </c>
      <c r="E6" s="8" t="s">
        <v>51</v>
      </c>
      <c r="F6" s="7">
        <v>110</v>
      </c>
      <c r="H6" s="8" t="s">
        <v>51</v>
      </c>
      <c r="I6" s="7">
        <v>12.222222222222221</v>
      </c>
      <c r="K6" s="8" t="s">
        <v>51</v>
      </c>
      <c r="L6" s="7">
        <v>25</v>
      </c>
      <c r="M6" s="7">
        <v>9</v>
      </c>
    </row>
    <row r="7" spans="1:13" x14ac:dyDescent="0.25">
      <c r="A7" s="8" t="s">
        <v>19</v>
      </c>
      <c r="B7" s="7">
        <v>2</v>
      </c>
      <c r="E7" s="8" t="s">
        <v>19</v>
      </c>
      <c r="F7" s="7">
        <v>40</v>
      </c>
      <c r="H7" s="8" t="s">
        <v>19</v>
      </c>
      <c r="I7" s="7">
        <v>20</v>
      </c>
      <c r="K7" s="8" t="s">
        <v>19</v>
      </c>
      <c r="L7" s="7">
        <v>25</v>
      </c>
      <c r="M7" s="7">
        <v>2</v>
      </c>
    </row>
    <row r="8" spans="1:13" x14ac:dyDescent="0.25">
      <c r="A8" s="8" t="s">
        <v>13</v>
      </c>
      <c r="B8" s="7">
        <v>5</v>
      </c>
      <c r="E8" s="8" t="s">
        <v>13</v>
      </c>
      <c r="F8" s="7">
        <v>90</v>
      </c>
      <c r="H8" s="8" t="s">
        <v>13</v>
      </c>
      <c r="I8" s="7">
        <v>18</v>
      </c>
      <c r="K8" s="8" t="s">
        <v>13</v>
      </c>
      <c r="L8" s="7">
        <v>25</v>
      </c>
      <c r="M8" s="7">
        <v>5</v>
      </c>
    </row>
    <row r="9" spans="1:13" x14ac:dyDescent="0.25">
      <c r="A9" s="8" t="s">
        <v>42</v>
      </c>
      <c r="B9" s="7">
        <v>1</v>
      </c>
      <c r="E9" s="8" t="s">
        <v>42</v>
      </c>
      <c r="F9" s="7">
        <v>25</v>
      </c>
      <c r="H9" s="8" t="s">
        <v>42</v>
      </c>
      <c r="I9" s="7">
        <v>25</v>
      </c>
      <c r="K9" s="8" t="s">
        <v>42</v>
      </c>
      <c r="L9" s="7">
        <v>25</v>
      </c>
      <c r="M9" s="7">
        <v>1</v>
      </c>
    </row>
    <row r="10" spans="1:13" x14ac:dyDescent="0.25">
      <c r="A10" s="8" t="s">
        <v>27</v>
      </c>
      <c r="B10" s="7">
        <v>3</v>
      </c>
      <c r="E10" s="8" t="s">
        <v>27</v>
      </c>
      <c r="F10" s="7">
        <v>65</v>
      </c>
      <c r="H10" s="8" t="s">
        <v>27</v>
      </c>
      <c r="I10" s="7">
        <v>21.666666666666668</v>
      </c>
      <c r="K10" s="8" t="s">
        <v>27</v>
      </c>
      <c r="L10" s="7">
        <v>25</v>
      </c>
      <c r="M10" s="7">
        <v>3</v>
      </c>
    </row>
    <row r="11" spans="1:13" x14ac:dyDescent="0.25">
      <c r="A11" s="8" t="s">
        <v>34</v>
      </c>
      <c r="B11" s="7">
        <v>7</v>
      </c>
      <c r="E11" s="8" t="s">
        <v>34</v>
      </c>
      <c r="F11" s="7">
        <v>88</v>
      </c>
      <c r="H11" s="8" t="s">
        <v>34</v>
      </c>
      <c r="I11" s="7">
        <v>12.571428571428571</v>
      </c>
      <c r="K11" s="8" t="s">
        <v>34</v>
      </c>
      <c r="L11" s="7">
        <v>20</v>
      </c>
      <c r="M11" s="7">
        <v>7</v>
      </c>
    </row>
    <row r="12" spans="1:13" x14ac:dyDescent="0.25">
      <c r="A12" s="8" t="s">
        <v>10</v>
      </c>
      <c r="B12" s="7">
        <v>6</v>
      </c>
      <c r="E12" s="8" t="s">
        <v>10</v>
      </c>
      <c r="F12" s="7">
        <v>102</v>
      </c>
      <c r="H12" s="8" t="s">
        <v>10</v>
      </c>
      <c r="I12" s="7">
        <v>17</v>
      </c>
      <c r="K12" s="8" t="s">
        <v>10</v>
      </c>
      <c r="L12" s="7">
        <v>25</v>
      </c>
      <c r="M12" s="7">
        <v>6</v>
      </c>
    </row>
    <row r="13" spans="1:13" x14ac:dyDescent="0.25">
      <c r="A13" s="8" t="s">
        <v>21</v>
      </c>
      <c r="B13" s="7">
        <v>3</v>
      </c>
      <c r="E13" s="8" t="s">
        <v>21</v>
      </c>
      <c r="F13" s="7">
        <v>45</v>
      </c>
      <c r="H13" s="8" t="s">
        <v>21</v>
      </c>
      <c r="I13" s="7">
        <v>15</v>
      </c>
      <c r="K13" s="8" t="s">
        <v>21</v>
      </c>
      <c r="L13" s="7">
        <v>25</v>
      </c>
      <c r="M13" s="7">
        <v>3</v>
      </c>
    </row>
    <row r="14" spans="1:13" x14ac:dyDescent="0.25">
      <c r="A14" s="8" t="s">
        <v>44</v>
      </c>
      <c r="B14" s="7">
        <v>1</v>
      </c>
      <c r="E14" s="8" t="s">
        <v>44</v>
      </c>
      <c r="F14" s="7">
        <v>20</v>
      </c>
      <c r="H14" s="8" t="s">
        <v>44</v>
      </c>
      <c r="I14" s="7">
        <v>20</v>
      </c>
      <c r="K14" s="8" t="s">
        <v>44</v>
      </c>
      <c r="L14" s="7">
        <v>20</v>
      </c>
      <c r="M14" s="7">
        <v>1</v>
      </c>
    </row>
    <row r="15" spans="1:13" x14ac:dyDescent="0.25">
      <c r="A15" s="8" t="s">
        <v>52</v>
      </c>
      <c r="B15" s="7">
        <v>45</v>
      </c>
      <c r="E15" s="8" t="s">
        <v>52</v>
      </c>
      <c r="F15" s="7">
        <v>722</v>
      </c>
      <c r="H15" s="8" t="s">
        <v>52</v>
      </c>
      <c r="I15" s="7">
        <v>16.044444444444444</v>
      </c>
      <c r="K15" s="8" t="s">
        <v>52</v>
      </c>
      <c r="L15" s="7">
        <v>25</v>
      </c>
      <c r="M15" s="7">
        <v>45</v>
      </c>
    </row>
    <row r="17" spans="1:13" x14ac:dyDescent="0.25">
      <c r="A17" s="24" t="s">
        <v>70</v>
      </c>
      <c r="B17" s="24"/>
      <c r="E17" s="24" t="s">
        <v>71</v>
      </c>
      <c r="F17" s="24"/>
      <c r="H17" s="24" t="s">
        <v>72</v>
      </c>
      <c r="I17" s="24"/>
      <c r="K17" s="24" t="s">
        <v>74</v>
      </c>
      <c r="L17" s="24"/>
    </row>
    <row r="18" spans="1:13" x14ac:dyDescent="0.25">
      <c r="A18" s="6" t="s">
        <v>55</v>
      </c>
      <c r="B18" t="s">
        <v>58</v>
      </c>
      <c r="E18" s="6" t="s">
        <v>55</v>
      </c>
      <c r="F18" t="s">
        <v>59</v>
      </c>
      <c r="H18" s="6" t="s">
        <v>55</v>
      </c>
      <c r="I18" t="s">
        <v>53</v>
      </c>
      <c r="K18" s="6" t="s">
        <v>55</v>
      </c>
      <c r="L18" t="s">
        <v>59</v>
      </c>
      <c r="M18" t="s">
        <v>54</v>
      </c>
    </row>
    <row r="19" spans="1:13" x14ac:dyDescent="0.25">
      <c r="A19" s="8" t="s">
        <v>39</v>
      </c>
      <c r="B19" s="7">
        <v>25</v>
      </c>
      <c r="E19" s="8" t="s">
        <v>39</v>
      </c>
      <c r="F19" s="7">
        <v>20</v>
      </c>
      <c r="H19" s="8" t="s">
        <v>39</v>
      </c>
      <c r="I19" s="7">
        <v>10</v>
      </c>
      <c r="K19" s="8" t="s">
        <v>39</v>
      </c>
      <c r="L19" s="7">
        <v>20</v>
      </c>
      <c r="M19" s="7">
        <v>3</v>
      </c>
    </row>
    <row r="20" spans="1:13" x14ac:dyDescent="0.25">
      <c r="A20" s="8" t="s">
        <v>16</v>
      </c>
      <c r="B20" s="7">
        <v>25</v>
      </c>
      <c r="E20" s="8" t="s">
        <v>16</v>
      </c>
      <c r="F20" s="7">
        <v>5</v>
      </c>
      <c r="H20" s="8" t="s">
        <v>16</v>
      </c>
      <c r="I20" s="7">
        <v>16</v>
      </c>
      <c r="K20" s="8" t="s">
        <v>16</v>
      </c>
      <c r="L20" s="7">
        <v>5</v>
      </c>
      <c r="M20" s="7">
        <v>5</v>
      </c>
    </row>
    <row r="21" spans="1:13" x14ac:dyDescent="0.25">
      <c r="A21" s="8" t="s">
        <v>51</v>
      </c>
      <c r="B21" s="7">
        <v>25</v>
      </c>
      <c r="E21" s="8" t="s">
        <v>51</v>
      </c>
      <c r="F21" s="7">
        <v>5</v>
      </c>
      <c r="H21" s="8" t="s">
        <v>51</v>
      </c>
      <c r="I21" s="7">
        <v>19</v>
      </c>
      <c r="K21" s="8" t="s">
        <v>51</v>
      </c>
      <c r="L21" s="7">
        <v>5</v>
      </c>
      <c r="M21" s="7">
        <v>9</v>
      </c>
    </row>
    <row r="22" spans="1:13" x14ac:dyDescent="0.25">
      <c r="A22" s="8" t="s">
        <v>19</v>
      </c>
      <c r="B22" s="7">
        <v>25</v>
      </c>
      <c r="E22" s="8" t="s">
        <v>19</v>
      </c>
      <c r="F22" s="7">
        <v>15</v>
      </c>
      <c r="H22" s="8" t="s">
        <v>19</v>
      </c>
      <c r="I22" s="7">
        <v>6</v>
      </c>
      <c r="K22" s="8" t="s">
        <v>19</v>
      </c>
      <c r="L22" s="7">
        <v>15</v>
      </c>
      <c r="M22" s="7">
        <v>2</v>
      </c>
    </row>
    <row r="23" spans="1:13" x14ac:dyDescent="0.25">
      <c r="A23" s="8" t="s">
        <v>13</v>
      </c>
      <c r="B23" s="7">
        <v>25</v>
      </c>
      <c r="E23" s="8" t="s">
        <v>13</v>
      </c>
      <c r="F23" s="7">
        <v>5</v>
      </c>
      <c r="H23" s="8" t="s">
        <v>13</v>
      </c>
      <c r="I23" s="7">
        <v>12</v>
      </c>
      <c r="K23" s="8" t="s">
        <v>13</v>
      </c>
      <c r="L23" s="7">
        <v>5</v>
      </c>
      <c r="M23" s="7">
        <v>5</v>
      </c>
    </row>
    <row r="24" spans="1:13" x14ac:dyDescent="0.25">
      <c r="A24" s="8" t="s">
        <v>42</v>
      </c>
      <c r="B24" s="7">
        <v>25</v>
      </c>
      <c r="E24" s="8" t="s">
        <v>42</v>
      </c>
      <c r="F24" s="7">
        <v>25</v>
      </c>
      <c r="H24" s="8" t="s">
        <v>42</v>
      </c>
      <c r="I24" s="7">
        <v>1</v>
      </c>
      <c r="K24" s="8" t="s">
        <v>42</v>
      </c>
      <c r="L24" s="7">
        <v>25</v>
      </c>
      <c r="M24" s="7">
        <v>1</v>
      </c>
    </row>
    <row r="25" spans="1:13" x14ac:dyDescent="0.25">
      <c r="A25" s="8" t="s">
        <v>27</v>
      </c>
      <c r="B25" s="7">
        <v>25</v>
      </c>
      <c r="E25" s="8" t="s">
        <v>27</v>
      </c>
      <c r="F25" s="7">
        <v>20</v>
      </c>
      <c r="H25" s="8" t="s">
        <v>27</v>
      </c>
      <c r="I25" s="7">
        <v>10</v>
      </c>
      <c r="K25" s="8" t="s">
        <v>27</v>
      </c>
      <c r="L25" s="7">
        <v>20</v>
      </c>
      <c r="M25" s="7">
        <v>3</v>
      </c>
    </row>
    <row r="26" spans="1:13" x14ac:dyDescent="0.25">
      <c r="A26" s="8" t="s">
        <v>34</v>
      </c>
      <c r="B26" s="7">
        <v>20</v>
      </c>
      <c r="E26" s="8" t="s">
        <v>34</v>
      </c>
      <c r="F26" s="7">
        <v>5</v>
      </c>
      <c r="H26" s="8" t="s">
        <v>34</v>
      </c>
      <c r="I26" s="7">
        <v>21</v>
      </c>
      <c r="K26" s="8" t="s">
        <v>34</v>
      </c>
      <c r="L26" s="7">
        <v>5</v>
      </c>
      <c r="M26" s="7">
        <v>7</v>
      </c>
    </row>
    <row r="27" spans="1:13" x14ac:dyDescent="0.25">
      <c r="A27" s="8" t="s">
        <v>10</v>
      </c>
      <c r="B27" s="7">
        <v>25</v>
      </c>
      <c r="E27" s="8" t="s">
        <v>10</v>
      </c>
      <c r="F27" s="7">
        <v>5</v>
      </c>
      <c r="H27" s="8" t="s">
        <v>10</v>
      </c>
      <c r="I27" s="7">
        <v>19</v>
      </c>
      <c r="K27" s="8" t="s">
        <v>10</v>
      </c>
      <c r="L27" s="7">
        <v>5</v>
      </c>
      <c r="M27" s="7">
        <v>6</v>
      </c>
    </row>
    <row r="28" spans="1:13" x14ac:dyDescent="0.25">
      <c r="A28" s="8" t="s">
        <v>21</v>
      </c>
      <c r="B28" s="7">
        <v>25</v>
      </c>
      <c r="E28" s="8" t="s">
        <v>21</v>
      </c>
      <c r="F28" s="7">
        <v>10</v>
      </c>
      <c r="H28" s="8" t="s">
        <v>21</v>
      </c>
      <c r="I28" s="7">
        <v>14</v>
      </c>
      <c r="K28" s="8" t="s">
        <v>21</v>
      </c>
      <c r="L28" s="7">
        <v>10</v>
      </c>
      <c r="M28" s="7">
        <v>3</v>
      </c>
    </row>
    <row r="29" spans="1:13" x14ac:dyDescent="0.25">
      <c r="A29" s="8" t="s">
        <v>44</v>
      </c>
      <c r="B29" s="7">
        <v>20</v>
      </c>
      <c r="E29" s="8" t="s">
        <v>44</v>
      </c>
      <c r="F29" s="7">
        <v>20</v>
      </c>
      <c r="H29" s="8" t="s">
        <v>44</v>
      </c>
      <c r="I29" s="7">
        <v>1</v>
      </c>
      <c r="K29" s="8" t="s">
        <v>44</v>
      </c>
      <c r="L29" s="7">
        <v>20</v>
      </c>
      <c r="M29" s="7">
        <v>1</v>
      </c>
    </row>
    <row r="30" spans="1:13" x14ac:dyDescent="0.25">
      <c r="A30" s="8" t="s">
        <v>52</v>
      </c>
      <c r="B30" s="7">
        <v>25</v>
      </c>
      <c r="E30" s="8" t="s">
        <v>52</v>
      </c>
      <c r="F30" s="7">
        <v>5</v>
      </c>
      <c r="H30" s="8" t="s">
        <v>52</v>
      </c>
      <c r="I30" s="7">
        <v>129</v>
      </c>
      <c r="K30" s="8" t="s">
        <v>52</v>
      </c>
      <c r="L30" s="7">
        <v>5</v>
      </c>
      <c r="M30" s="7">
        <v>45</v>
      </c>
    </row>
  </sheetData>
  <mergeCells count="7">
    <mergeCell ref="K2:L2"/>
    <mergeCell ref="K17:L17"/>
    <mergeCell ref="E2:F2"/>
    <mergeCell ref="H2:I2"/>
    <mergeCell ref="A17:B17"/>
    <mergeCell ref="E17:F17"/>
    <mergeCell ref="H17:I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F40E9-6CFC-4953-BA93-A2DA18DB05E0}">
  <dimension ref="A3:C20"/>
  <sheetViews>
    <sheetView workbookViewId="0">
      <selection activeCell="B9" sqref="B9"/>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1473-50BC-4C4C-B6F0-36EB8559276E}">
  <dimension ref="A2:H49"/>
  <sheetViews>
    <sheetView topLeftCell="A14" workbookViewId="0">
      <selection activeCell="G19" sqref="G19:H27"/>
    </sheetView>
  </sheetViews>
  <sheetFormatPr defaultRowHeight="15" x14ac:dyDescent="0.25"/>
  <cols>
    <col min="1" max="1" width="13.140625" bestFit="1" customWidth="1"/>
    <col min="2" max="2" width="16" bestFit="1" customWidth="1"/>
    <col min="4" max="4" width="13.140625" bestFit="1" customWidth="1"/>
    <col min="5" max="5" width="16" bestFit="1" customWidth="1"/>
    <col min="7" max="7" width="13.140625" bestFit="1" customWidth="1"/>
    <col min="8" max="8" width="27" bestFit="1" customWidth="1"/>
  </cols>
  <sheetData>
    <row r="2" spans="1:8" x14ac:dyDescent="0.25">
      <c r="A2" s="24" t="s">
        <v>77</v>
      </c>
      <c r="B2" s="24"/>
      <c r="D2" s="24" t="s">
        <v>78</v>
      </c>
      <c r="E2" s="24"/>
      <c r="F2" s="10"/>
    </row>
    <row r="3" spans="1:8" x14ac:dyDescent="0.25">
      <c r="A3" s="6" t="s">
        <v>55</v>
      </c>
      <c r="B3" t="s">
        <v>76</v>
      </c>
      <c r="D3" s="6" t="s">
        <v>55</v>
      </c>
      <c r="E3" t="s">
        <v>76</v>
      </c>
      <c r="G3" s="24" t="s">
        <v>79</v>
      </c>
      <c r="H3" s="24"/>
    </row>
    <row r="4" spans="1:8" x14ac:dyDescent="0.25">
      <c r="A4" s="8" t="s">
        <v>39</v>
      </c>
      <c r="B4" s="7">
        <v>231</v>
      </c>
      <c r="D4" s="8" t="s">
        <v>12</v>
      </c>
      <c r="E4" s="7">
        <v>261</v>
      </c>
      <c r="G4" s="6" t="s">
        <v>55</v>
      </c>
      <c r="H4" t="s">
        <v>53</v>
      </c>
    </row>
    <row r="5" spans="1:8" x14ac:dyDescent="0.25">
      <c r="A5" s="8" t="s">
        <v>16</v>
      </c>
      <c r="B5" s="7">
        <v>252</v>
      </c>
      <c r="D5" s="8" t="s">
        <v>23</v>
      </c>
      <c r="E5" s="7">
        <v>447</v>
      </c>
      <c r="G5" s="8" t="s">
        <v>39</v>
      </c>
      <c r="H5" s="7">
        <v>10</v>
      </c>
    </row>
    <row r="6" spans="1:8" x14ac:dyDescent="0.25">
      <c r="A6" s="8" t="s">
        <v>51</v>
      </c>
      <c r="B6" s="7">
        <v>230</v>
      </c>
      <c r="D6" s="8" t="s">
        <v>26</v>
      </c>
      <c r="E6" s="7">
        <v>295</v>
      </c>
      <c r="G6" s="8" t="s">
        <v>16</v>
      </c>
      <c r="H6" s="7">
        <v>16</v>
      </c>
    </row>
    <row r="7" spans="1:8" x14ac:dyDescent="0.25">
      <c r="A7" s="8" t="s">
        <v>19</v>
      </c>
      <c r="B7" s="7">
        <v>140</v>
      </c>
      <c r="D7" s="8" t="s">
        <v>9</v>
      </c>
      <c r="E7" s="7">
        <v>625</v>
      </c>
      <c r="G7" s="8" t="s">
        <v>51</v>
      </c>
      <c r="H7" s="7">
        <v>19</v>
      </c>
    </row>
    <row r="8" spans="1:8" x14ac:dyDescent="0.25">
      <c r="A8" s="8" t="s">
        <v>13</v>
      </c>
      <c r="B8" s="7">
        <v>215</v>
      </c>
      <c r="D8" s="8" t="s">
        <v>51</v>
      </c>
      <c r="E8" s="7">
        <v>225</v>
      </c>
      <c r="G8" s="8" t="s">
        <v>19</v>
      </c>
      <c r="H8" s="7">
        <v>6</v>
      </c>
    </row>
    <row r="9" spans="1:8" x14ac:dyDescent="0.25">
      <c r="A9" s="8" t="s">
        <v>42</v>
      </c>
      <c r="B9" s="7">
        <v>25</v>
      </c>
      <c r="D9" s="8" t="s">
        <v>25</v>
      </c>
      <c r="E9" s="7">
        <v>327</v>
      </c>
      <c r="G9" s="8" t="s">
        <v>13</v>
      </c>
      <c r="H9" s="7">
        <v>12</v>
      </c>
    </row>
    <row r="10" spans="1:8" x14ac:dyDescent="0.25">
      <c r="A10" s="8" t="s">
        <v>27</v>
      </c>
      <c r="B10" s="7">
        <v>225</v>
      </c>
      <c r="D10" s="8" t="s">
        <v>52</v>
      </c>
      <c r="E10" s="7">
        <v>2180</v>
      </c>
      <c r="G10" s="8" t="s">
        <v>42</v>
      </c>
      <c r="H10" s="7">
        <v>1</v>
      </c>
    </row>
    <row r="11" spans="1:8" x14ac:dyDescent="0.25">
      <c r="A11" s="8" t="s">
        <v>34</v>
      </c>
      <c r="B11" s="7">
        <v>280</v>
      </c>
      <c r="G11" s="8" t="s">
        <v>27</v>
      </c>
      <c r="H11" s="7">
        <v>10</v>
      </c>
    </row>
    <row r="12" spans="1:8" x14ac:dyDescent="0.25">
      <c r="A12" s="8" t="s">
        <v>10</v>
      </c>
      <c r="B12" s="7">
        <v>347</v>
      </c>
      <c r="G12" s="8" t="s">
        <v>34</v>
      </c>
      <c r="H12" s="7">
        <v>21</v>
      </c>
    </row>
    <row r="13" spans="1:8" x14ac:dyDescent="0.25">
      <c r="A13" s="8" t="s">
        <v>21</v>
      </c>
      <c r="B13" s="7">
        <v>215</v>
      </c>
      <c r="G13" s="8" t="s">
        <v>10</v>
      </c>
      <c r="H13" s="7">
        <v>19</v>
      </c>
    </row>
    <row r="14" spans="1:8" x14ac:dyDescent="0.25">
      <c r="A14" s="8" t="s">
        <v>44</v>
      </c>
      <c r="B14" s="7">
        <v>20</v>
      </c>
      <c r="G14" s="8" t="s">
        <v>21</v>
      </c>
      <c r="H14" s="7">
        <v>14</v>
      </c>
    </row>
    <row r="15" spans="1:8" x14ac:dyDescent="0.25">
      <c r="A15" s="8" t="s">
        <v>52</v>
      </c>
      <c r="B15" s="7">
        <v>2180</v>
      </c>
      <c r="G15" s="8" t="s">
        <v>44</v>
      </c>
      <c r="H15" s="7">
        <v>1</v>
      </c>
    </row>
    <row r="16" spans="1:8" x14ac:dyDescent="0.25">
      <c r="G16" s="8" t="s">
        <v>52</v>
      </c>
      <c r="H16" s="7">
        <v>129</v>
      </c>
    </row>
    <row r="19" spans="1:8" x14ac:dyDescent="0.25">
      <c r="A19" s="24" t="s">
        <v>80</v>
      </c>
      <c r="B19" s="24"/>
      <c r="D19" s="24" t="s">
        <v>83</v>
      </c>
      <c r="E19" s="24"/>
      <c r="G19" s="24" t="s">
        <v>77</v>
      </c>
      <c r="H19" s="24"/>
    </row>
    <row r="20" spans="1:8" x14ac:dyDescent="0.25">
      <c r="A20" s="6" t="s">
        <v>55</v>
      </c>
      <c r="B20" t="s">
        <v>76</v>
      </c>
      <c r="D20" s="6" t="s">
        <v>55</v>
      </c>
      <c r="E20" t="s">
        <v>76</v>
      </c>
      <c r="G20" s="6" t="s">
        <v>55</v>
      </c>
      <c r="H20" t="s">
        <v>56</v>
      </c>
    </row>
    <row r="21" spans="1:8" x14ac:dyDescent="0.25">
      <c r="A21" s="8" t="s">
        <v>36</v>
      </c>
      <c r="B21" s="7">
        <v>15</v>
      </c>
      <c r="D21" s="8" t="s">
        <v>81</v>
      </c>
      <c r="E21" s="7">
        <v>1740</v>
      </c>
      <c r="G21" s="8" t="s">
        <v>12</v>
      </c>
      <c r="H21" s="7">
        <v>93</v>
      </c>
    </row>
    <row r="22" spans="1:8" x14ac:dyDescent="0.25">
      <c r="A22" s="8" t="s">
        <v>32</v>
      </c>
      <c r="B22" s="7">
        <v>125</v>
      </c>
      <c r="D22" s="8" t="s">
        <v>82</v>
      </c>
      <c r="E22" s="7">
        <v>440</v>
      </c>
      <c r="G22" s="8" t="s">
        <v>23</v>
      </c>
      <c r="H22" s="7">
        <v>107</v>
      </c>
    </row>
    <row r="23" spans="1:8" x14ac:dyDescent="0.25">
      <c r="A23" s="8" t="s">
        <v>8</v>
      </c>
      <c r="B23" s="7">
        <v>20</v>
      </c>
      <c r="D23" s="8" t="s">
        <v>52</v>
      </c>
      <c r="E23" s="7">
        <v>2180</v>
      </c>
      <c r="G23" s="8" t="s">
        <v>26</v>
      </c>
      <c r="H23" s="7">
        <v>95</v>
      </c>
    </row>
    <row r="24" spans="1:8" x14ac:dyDescent="0.25">
      <c r="A24" s="8" t="s">
        <v>47</v>
      </c>
      <c r="B24" s="7">
        <v>80</v>
      </c>
      <c r="G24" s="8" t="s">
        <v>9</v>
      </c>
      <c r="H24" s="7">
        <v>170</v>
      </c>
    </row>
    <row r="25" spans="1:8" x14ac:dyDescent="0.25">
      <c r="A25" s="8" t="s">
        <v>18</v>
      </c>
      <c r="B25" s="7">
        <v>140</v>
      </c>
      <c r="G25" s="8" t="s">
        <v>51</v>
      </c>
      <c r="H25" s="7">
        <v>145</v>
      </c>
    </row>
    <row r="26" spans="1:8" x14ac:dyDescent="0.25">
      <c r="A26" s="8" t="s">
        <v>45</v>
      </c>
      <c r="B26" s="7">
        <v>40</v>
      </c>
      <c r="G26" s="8" t="s">
        <v>25</v>
      </c>
      <c r="H26" s="7">
        <v>112</v>
      </c>
    </row>
    <row r="27" spans="1:8" x14ac:dyDescent="0.25">
      <c r="A27" s="8" t="s">
        <v>28</v>
      </c>
      <c r="B27" s="7">
        <v>125</v>
      </c>
      <c r="G27" s="8" t="s">
        <v>52</v>
      </c>
      <c r="H27" s="7">
        <v>722</v>
      </c>
    </row>
    <row r="28" spans="1:8" x14ac:dyDescent="0.25">
      <c r="A28" s="8" t="s">
        <v>29</v>
      </c>
      <c r="B28" s="7">
        <v>190</v>
      </c>
    </row>
    <row r="29" spans="1:8" x14ac:dyDescent="0.25">
      <c r="A29" s="8" t="s">
        <v>33</v>
      </c>
      <c r="B29" s="7">
        <v>30</v>
      </c>
    </row>
    <row r="30" spans="1:8" x14ac:dyDescent="0.25">
      <c r="A30" s="8" t="s">
        <v>30</v>
      </c>
      <c r="B30" s="7">
        <v>30</v>
      </c>
    </row>
    <row r="31" spans="1:8" x14ac:dyDescent="0.25">
      <c r="A31" s="8" t="s">
        <v>31</v>
      </c>
      <c r="B31" s="7">
        <v>60</v>
      </c>
    </row>
    <row r="32" spans="1:8" x14ac:dyDescent="0.25">
      <c r="A32" s="8" t="s">
        <v>22</v>
      </c>
      <c r="B32" s="7">
        <v>175</v>
      </c>
    </row>
    <row r="33" spans="1:2" x14ac:dyDescent="0.25">
      <c r="A33" s="8" t="s">
        <v>15</v>
      </c>
      <c r="B33" s="7">
        <v>20</v>
      </c>
    </row>
    <row r="34" spans="1:2" x14ac:dyDescent="0.25">
      <c r="A34" s="8" t="s">
        <v>49</v>
      </c>
      <c r="B34" s="7">
        <v>125</v>
      </c>
    </row>
    <row r="35" spans="1:2" x14ac:dyDescent="0.25">
      <c r="A35" s="8" t="s">
        <v>24</v>
      </c>
      <c r="B35" s="7">
        <v>100</v>
      </c>
    </row>
    <row r="36" spans="1:2" x14ac:dyDescent="0.25">
      <c r="A36" s="8" t="s">
        <v>41</v>
      </c>
      <c r="B36" s="7">
        <v>25</v>
      </c>
    </row>
    <row r="37" spans="1:2" x14ac:dyDescent="0.25">
      <c r="A37" s="8" t="s">
        <v>48</v>
      </c>
      <c r="B37" s="7">
        <v>20</v>
      </c>
    </row>
    <row r="38" spans="1:2" x14ac:dyDescent="0.25">
      <c r="A38" s="8" t="s">
        <v>38</v>
      </c>
      <c r="B38" s="7">
        <v>65</v>
      </c>
    </row>
    <row r="39" spans="1:2" x14ac:dyDescent="0.25">
      <c r="A39" s="8" t="s">
        <v>37</v>
      </c>
      <c r="B39" s="7">
        <v>17</v>
      </c>
    </row>
    <row r="40" spans="1:2" x14ac:dyDescent="0.25">
      <c r="A40" s="8" t="s">
        <v>43</v>
      </c>
      <c r="B40" s="7">
        <v>50</v>
      </c>
    </row>
    <row r="41" spans="1:2" x14ac:dyDescent="0.25">
      <c r="A41" s="8" t="s">
        <v>46</v>
      </c>
      <c r="B41" s="7">
        <v>20</v>
      </c>
    </row>
    <row r="42" spans="1:2" x14ac:dyDescent="0.25">
      <c r="A42" s="8" t="s">
        <v>17</v>
      </c>
      <c r="B42" s="7">
        <v>5</v>
      </c>
    </row>
    <row r="43" spans="1:2" x14ac:dyDescent="0.25">
      <c r="A43" s="8" t="s">
        <v>40</v>
      </c>
      <c r="B43" s="7">
        <v>10</v>
      </c>
    </row>
    <row r="44" spans="1:2" x14ac:dyDescent="0.25">
      <c r="A44" s="8" t="s">
        <v>51</v>
      </c>
      <c r="B44" s="7">
        <v>453</v>
      </c>
    </row>
    <row r="45" spans="1:2" x14ac:dyDescent="0.25">
      <c r="A45" s="8" t="s">
        <v>35</v>
      </c>
      <c r="B45" s="7">
        <v>50</v>
      </c>
    </row>
    <row r="46" spans="1:2" x14ac:dyDescent="0.25">
      <c r="A46" s="8" t="s">
        <v>50</v>
      </c>
      <c r="B46" s="7">
        <v>25</v>
      </c>
    </row>
    <row r="47" spans="1:2" x14ac:dyDescent="0.25">
      <c r="A47" s="8" t="s">
        <v>11</v>
      </c>
      <c r="B47" s="7">
        <v>75</v>
      </c>
    </row>
    <row r="48" spans="1:2" x14ac:dyDescent="0.25">
      <c r="A48" s="8" t="s">
        <v>20</v>
      </c>
      <c r="B48" s="7">
        <v>90</v>
      </c>
    </row>
    <row r="49" spans="1:2" x14ac:dyDescent="0.25">
      <c r="A49" s="8" t="s">
        <v>52</v>
      </c>
      <c r="B49" s="7">
        <v>2180</v>
      </c>
    </row>
  </sheetData>
  <mergeCells count="6">
    <mergeCell ref="G19:H19"/>
    <mergeCell ref="A2:B2"/>
    <mergeCell ref="D2:E2"/>
    <mergeCell ref="G3:H3"/>
    <mergeCell ref="A19:B19"/>
    <mergeCell ref="D19:E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D6BC-5E45-4378-BB98-434A77D8F4F3}">
  <dimension ref="A3:B11"/>
  <sheetViews>
    <sheetView workbookViewId="0">
      <selection activeCell="J7" sqref="J7"/>
    </sheetView>
  </sheetViews>
  <sheetFormatPr defaultRowHeight="15" x14ac:dyDescent="0.25"/>
  <cols>
    <col min="1" max="1" width="13.140625" bestFit="1" customWidth="1"/>
    <col min="2" max="2" width="27" bestFit="1" customWidth="1"/>
  </cols>
  <sheetData>
    <row r="3" spans="1:2" x14ac:dyDescent="0.25">
      <c r="A3" s="24" t="s">
        <v>77</v>
      </c>
      <c r="B3" s="24"/>
    </row>
    <row r="4" spans="1:2" x14ac:dyDescent="0.25">
      <c r="A4" s="6" t="s">
        <v>55</v>
      </c>
      <c r="B4" t="s">
        <v>56</v>
      </c>
    </row>
    <row r="5" spans="1:2" x14ac:dyDescent="0.25">
      <c r="A5" s="8" t="s">
        <v>12</v>
      </c>
      <c r="B5" s="7">
        <v>93</v>
      </c>
    </row>
    <row r="6" spans="1:2" x14ac:dyDescent="0.25">
      <c r="A6" s="8" t="s">
        <v>23</v>
      </c>
      <c r="B6" s="7">
        <v>107</v>
      </c>
    </row>
    <row r="7" spans="1:2" x14ac:dyDescent="0.25">
      <c r="A7" s="8" t="s">
        <v>26</v>
      </c>
      <c r="B7" s="7">
        <v>95</v>
      </c>
    </row>
    <row r="8" spans="1:2" x14ac:dyDescent="0.25">
      <c r="A8" s="8" t="s">
        <v>9</v>
      </c>
      <c r="B8" s="7">
        <v>170</v>
      </c>
    </row>
    <row r="9" spans="1:2" x14ac:dyDescent="0.25">
      <c r="A9" s="8" t="s">
        <v>51</v>
      </c>
      <c r="B9" s="7">
        <v>145</v>
      </c>
    </row>
    <row r="10" spans="1:2" x14ac:dyDescent="0.25">
      <c r="A10" s="8" t="s">
        <v>25</v>
      </c>
      <c r="B10" s="7">
        <v>112</v>
      </c>
    </row>
    <row r="11" spans="1:2" x14ac:dyDescent="0.25">
      <c r="A11" s="8" t="s">
        <v>52</v>
      </c>
      <c r="B11" s="7">
        <v>722</v>
      </c>
    </row>
  </sheetData>
  <mergeCells count="1">
    <mergeCell ref="A3:B3"/>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C130-0D54-4AC7-89E9-E27A8DE419FC}">
  <dimension ref="A3:B7"/>
  <sheetViews>
    <sheetView workbookViewId="0">
      <selection activeCell="K7" sqref="K7"/>
    </sheetView>
  </sheetViews>
  <sheetFormatPr defaultRowHeight="15" x14ac:dyDescent="0.25"/>
  <cols>
    <col min="1" max="1" width="13.140625" bestFit="1" customWidth="1"/>
    <col min="2" max="2" width="16" bestFit="1" customWidth="1"/>
  </cols>
  <sheetData>
    <row r="3" spans="1:2" x14ac:dyDescent="0.25">
      <c r="A3" s="24" t="s">
        <v>83</v>
      </c>
      <c r="B3" s="24"/>
    </row>
    <row r="4" spans="1:2" x14ac:dyDescent="0.25">
      <c r="A4" s="6" t="s">
        <v>55</v>
      </c>
      <c r="B4" t="s">
        <v>76</v>
      </c>
    </row>
    <row r="5" spans="1:2" x14ac:dyDescent="0.25">
      <c r="A5" s="8" t="s">
        <v>81</v>
      </c>
      <c r="B5" s="7">
        <v>1740</v>
      </c>
    </row>
    <row r="6" spans="1:2" x14ac:dyDescent="0.25">
      <c r="A6" s="8" t="s">
        <v>82</v>
      </c>
      <c r="B6" s="7">
        <v>440</v>
      </c>
    </row>
    <row r="7" spans="1:2" x14ac:dyDescent="0.25">
      <c r="A7" s="8" t="s">
        <v>52</v>
      </c>
      <c r="B7" s="7">
        <v>2180</v>
      </c>
    </row>
  </sheetData>
  <mergeCells count="1">
    <mergeCell ref="A3:B3"/>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03CD-1792-436B-837B-7634ADAD13A1}">
  <dimension ref="A3:B33"/>
  <sheetViews>
    <sheetView topLeftCell="A25" workbookViewId="0">
      <selection activeCell="N19" sqref="N19"/>
    </sheetView>
  </sheetViews>
  <sheetFormatPr defaultRowHeight="15" x14ac:dyDescent="0.25"/>
  <cols>
    <col min="1" max="1" width="16.28515625" bestFit="1" customWidth="1"/>
    <col min="2" max="2" width="16" bestFit="1" customWidth="1"/>
  </cols>
  <sheetData>
    <row r="3" spans="1:2" x14ac:dyDescent="0.25">
      <c r="A3" s="24" t="s">
        <v>80</v>
      </c>
      <c r="B3" s="24"/>
    </row>
    <row r="4" spans="1:2" x14ac:dyDescent="0.25">
      <c r="A4" s="6" t="s">
        <v>55</v>
      </c>
      <c r="B4" t="s">
        <v>76</v>
      </c>
    </row>
    <row r="5" spans="1:2" x14ac:dyDescent="0.25">
      <c r="A5" s="8" t="s">
        <v>36</v>
      </c>
      <c r="B5" s="7">
        <v>15</v>
      </c>
    </row>
    <row r="6" spans="1:2" x14ac:dyDescent="0.25">
      <c r="A6" s="8" t="s">
        <v>32</v>
      </c>
      <c r="B6" s="7">
        <v>125</v>
      </c>
    </row>
    <row r="7" spans="1:2" x14ac:dyDescent="0.25">
      <c r="A7" s="8" t="s">
        <v>8</v>
      </c>
      <c r="B7" s="7">
        <v>20</v>
      </c>
    </row>
    <row r="8" spans="1:2" x14ac:dyDescent="0.25">
      <c r="A8" s="8" t="s">
        <v>47</v>
      </c>
      <c r="B8" s="7">
        <v>80</v>
      </c>
    </row>
    <row r="9" spans="1:2" x14ac:dyDescent="0.25">
      <c r="A9" s="8" t="s">
        <v>18</v>
      </c>
      <c r="B9" s="7">
        <v>140</v>
      </c>
    </row>
    <row r="10" spans="1:2" x14ac:dyDescent="0.25">
      <c r="A10" s="8" t="s">
        <v>45</v>
      </c>
      <c r="B10" s="7">
        <v>40</v>
      </c>
    </row>
    <row r="11" spans="1:2" x14ac:dyDescent="0.25">
      <c r="A11" s="8" t="s">
        <v>28</v>
      </c>
      <c r="B11" s="7">
        <v>125</v>
      </c>
    </row>
    <row r="12" spans="1:2" x14ac:dyDescent="0.25">
      <c r="A12" s="8" t="s">
        <v>29</v>
      </c>
      <c r="B12" s="7">
        <v>190</v>
      </c>
    </row>
    <row r="13" spans="1:2" x14ac:dyDescent="0.25">
      <c r="A13" s="8" t="s">
        <v>33</v>
      </c>
      <c r="B13" s="7">
        <v>30</v>
      </c>
    </row>
    <row r="14" spans="1:2" x14ac:dyDescent="0.25">
      <c r="A14" s="8" t="s">
        <v>30</v>
      </c>
      <c r="B14" s="7">
        <v>30</v>
      </c>
    </row>
    <row r="15" spans="1:2" x14ac:dyDescent="0.25">
      <c r="A15" s="8" t="s">
        <v>31</v>
      </c>
      <c r="B15" s="7">
        <v>60</v>
      </c>
    </row>
    <row r="16" spans="1:2" x14ac:dyDescent="0.25">
      <c r="A16" s="8" t="s">
        <v>22</v>
      </c>
      <c r="B16" s="7">
        <v>175</v>
      </c>
    </row>
    <row r="17" spans="1:2" x14ac:dyDescent="0.25">
      <c r="A17" s="8" t="s">
        <v>15</v>
      </c>
      <c r="B17" s="7">
        <v>20</v>
      </c>
    </row>
    <row r="18" spans="1:2" x14ac:dyDescent="0.25">
      <c r="A18" s="8" t="s">
        <v>49</v>
      </c>
      <c r="B18" s="7">
        <v>125</v>
      </c>
    </row>
    <row r="19" spans="1:2" x14ac:dyDescent="0.25">
      <c r="A19" s="8" t="s">
        <v>24</v>
      </c>
      <c r="B19" s="7">
        <v>100</v>
      </c>
    </row>
    <row r="20" spans="1:2" x14ac:dyDescent="0.25">
      <c r="A20" s="8" t="s">
        <v>41</v>
      </c>
      <c r="B20" s="7">
        <v>25</v>
      </c>
    </row>
    <row r="21" spans="1:2" x14ac:dyDescent="0.25">
      <c r="A21" s="8" t="s">
        <v>48</v>
      </c>
      <c r="B21" s="7">
        <v>20</v>
      </c>
    </row>
    <row r="22" spans="1:2" x14ac:dyDescent="0.25">
      <c r="A22" s="8" t="s">
        <v>38</v>
      </c>
      <c r="B22" s="7">
        <v>65</v>
      </c>
    </row>
    <row r="23" spans="1:2" x14ac:dyDescent="0.25">
      <c r="A23" s="8" t="s">
        <v>37</v>
      </c>
      <c r="B23" s="7">
        <v>17</v>
      </c>
    </row>
    <row r="24" spans="1:2" x14ac:dyDescent="0.25">
      <c r="A24" s="8" t="s">
        <v>43</v>
      </c>
      <c r="B24" s="7">
        <v>50</v>
      </c>
    </row>
    <row r="25" spans="1:2" x14ac:dyDescent="0.25">
      <c r="A25" s="8" t="s">
        <v>46</v>
      </c>
      <c r="B25" s="7">
        <v>20</v>
      </c>
    </row>
    <row r="26" spans="1:2" x14ac:dyDescent="0.25">
      <c r="A26" s="8" t="s">
        <v>17</v>
      </c>
      <c r="B26" s="7">
        <v>5</v>
      </c>
    </row>
    <row r="27" spans="1:2" x14ac:dyDescent="0.25">
      <c r="A27" s="8" t="s">
        <v>40</v>
      </c>
      <c r="B27" s="7">
        <v>10</v>
      </c>
    </row>
    <row r="28" spans="1:2" x14ac:dyDescent="0.25">
      <c r="A28" s="8" t="s">
        <v>51</v>
      </c>
      <c r="B28" s="7">
        <v>453</v>
      </c>
    </row>
    <row r="29" spans="1:2" x14ac:dyDescent="0.25">
      <c r="A29" s="8" t="s">
        <v>35</v>
      </c>
      <c r="B29" s="7">
        <v>50</v>
      </c>
    </row>
    <row r="30" spans="1:2" x14ac:dyDescent="0.25">
      <c r="A30" s="8" t="s">
        <v>50</v>
      </c>
      <c r="B30" s="7">
        <v>25</v>
      </c>
    </row>
    <row r="31" spans="1:2" x14ac:dyDescent="0.25">
      <c r="A31" s="8" t="s">
        <v>11</v>
      </c>
      <c r="B31" s="7">
        <v>75</v>
      </c>
    </row>
    <row r="32" spans="1:2" x14ac:dyDescent="0.25">
      <c r="A32" s="8" t="s">
        <v>20</v>
      </c>
      <c r="B32" s="7">
        <v>90</v>
      </c>
    </row>
    <row r="33" spans="1:2" x14ac:dyDescent="0.25">
      <c r="A33" s="8" t="s">
        <v>52</v>
      </c>
      <c r="B33" s="7">
        <v>2180</v>
      </c>
    </row>
  </sheetData>
  <mergeCells count="1">
    <mergeCell ref="A3:B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BBDB-9EDA-4EB8-A4A0-D658A7AF69B7}">
  <dimension ref="A3:B16"/>
  <sheetViews>
    <sheetView workbookViewId="0">
      <selection activeCell="B7" sqref="B7"/>
    </sheetView>
  </sheetViews>
  <sheetFormatPr defaultRowHeight="15" x14ac:dyDescent="0.25"/>
  <cols>
    <col min="1" max="1" width="13.140625" bestFit="1" customWidth="1"/>
    <col min="2" max="2" width="15.42578125" bestFit="1" customWidth="1"/>
  </cols>
  <sheetData>
    <row r="3" spans="1:2" x14ac:dyDescent="0.25">
      <c r="A3" s="24" t="s">
        <v>79</v>
      </c>
      <c r="B3" s="24"/>
    </row>
    <row r="4" spans="1:2" x14ac:dyDescent="0.25">
      <c r="A4" s="6" t="s">
        <v>55</v>
      </c>
      <c r="B4" t="s">
        <v>53</v>
      </c>
    </row>
    <row r="5" spans="1:2" x14ac:dyDescent="0.25">
      <c r="A5" s="8" t="s">
        <v>39</v>
      </c>
      <c r="B5" s="7">
        <v>10</v>
      </c>
    </row>
    <row r="6" spans="1:2" x14ac:dyDescent="0.25">
      <c r="A6" s="8" t="s">
        <v>16</v>
      </c>
      <c r="B6" s="7">
        <v>16</v>
      </c>
    </row>
    <row r="7" spans="1:2" x14ac:dyDescent="0.25">
      <c r="A7" s="8" t="s">
        <v>51</v>
      </c>
      <c r="B7" s="7">
        <v>19</v>
      </c>
    </row>
    <row r="8" spans="1:2" x14ac:dyDescent="0.25">
      <c r="A8" s="8" t="s">
        <v>19</v>
      </c>
      <c r="B8" s="7">
        <v>6</v>
      </c>
    </row>
    <row r="9" spans="1:2" x14ac:dyDescent="0.25">
      <c r="A9" s="8" t="s">
        <v>13</v>
      </c>
      <c r="B9" s="7">
        <v>12</v>
      </c>
    </row>
    <row r="10" spans="1:2" x14ac:dyDescent="0.25">
      <c r="A10" s="8" t="s">
        <v>42</v>
      </c>
      <c r="B10" s="7">
        <v>1</v>
      </c>
    </row>
    <row r="11" spans="1:2" x14ac:dyDescent="0.25">
      <c r="A11" s="8" t="s">
        <v>27</v>
      </c>
      <c r="B11" s="7">
        <v>10</v>
      </c>
    </row>
    <row r="12" spans="1:2" x14ac:dyDescent="0.25">
      <c r="A12" s="8" t="s">
        <v>34</v>
      </c>
      <c r="B12" s="7">
        <v>21</v>
      </c>
    </row>
    <row r="13" spans="1:2" x14ac:dyDescent="0.25">
      <c r="A13" s="8" t="s">
        <v>10</v>
      </c>
      <c r="B13" s="7">
        <v>19</v>
      </c>
    </row>
    <row r="14" spans="1:2" x14ac:dyDescent="0.25">
      <c r="A14" s="8" t="s">
        <v>21</v>
      </c>
      <c r="B14" s="7">
        <v>14</v>
      </c>
    </row>
    <row r="15" spans="1:2" x14ac:dyDescent="0.25">
      <c r="A15" s="8" t="s">
        <v>44</v>
      </c>
      <c r="B15" s="7">
        <v>1</v>
      </c>
    </row>
    <row r="16" spans="1:2" x14ac:dyDescent="0.25">
      <c r="A16" s="8" t="s">
        <v>52</v>
      </c>
      <c r="B16" s="7">
        <v>129</v>
      </c>
    </row>
  </sheetData>
  <mergeCells count="1">
    <mergeCell ref="A3:B3"/>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2DD6-EB5F-402F-B902-A71A48B4A316}">
  <dimension ref="A1:B9"/>
  <sheetViews>
    <sheetView workbookViewId="0">
      <selection activeCell="I6" sqref="I6"/>
    </sheetView>
  </sheetViews>
  <sheetFormatPr defaultRowHeight="15" x14ac:dyDescent="0.25"/>
  <cols>
    <col min="1" max="1" width="13.140625" bestFit="1" customWidth="1"/>
    <col min="2" max="2" width="16" bestFit="1" customWidth="1"/>
  </cols>
  <sheetData>
    <row r="1" spans="1:2" x14ac:dyDescent="0.25">
      <c r="A1" s="24" t="s">
        <v>78</v>
      </c>
      <c r="B1" s="24"/>
    </row>
    <row r="2" spans="1:2" x14ac:dyDescent="0.25">
      <c r="A2" s="6" t="s">
        <v>55</v>
      </c>
      <c r="B2" t="s">
        <v>76</v>
      </c>
    </row>
    <row r="3" spans="1:2" x14ac:dyDescent="0.25">
      <c r="A3" s="8" t="s">
        <v>12</v>
      </c>
      <c r="B3" s="7">
        <v>261</v>
      </c>
    </row>
    <row r="4" spans="1:2" x14ac:dyDescent="0.25">
      <c r="A4" s="8" t="s">
        <v>23</v>
      </c>
      <c r="B4" s="7">
        <v>447</v>
      </c>
    </row>
    <row r="5" spans="1:2" x14ac:dyDescent="0.25">
      <c r="A5" s="8" t="s">
        <v>26</v>
      </c>
      <c r="B5" s="7">
        <v>295</v>
      </c>
    </row>
    <row r="6" spans="1:2" x14ac:dyDescent="0.25">
      <c r="A6" s="8" t="s">
        <v>9</v>
      </c>
      <c r="B6" s="7">
        <v>625</v>
      </c>
    </row>
    <row r="7" spans="1:2" x14ac:dyDescent="0.25">
      <c r="A7" s="8" t="s">
        <v>51</v>
      </c>
      <c r="B7" s="7">
        <v>225</v>
      </c>
    </row>
    <row r="8" spans="1:2" x14ac:dyDescent="0.25">
      <c r="A8" s="8" t="s">
        <v>25</v>
      </c>
      <c r="B8" s="7">
        <v>327</v>
      </c>
    </row>
    <row r="9" spans="1:2" x14ac:dyDescent="0.25">
      <c r="A9" s="8" t="s">
        <v>52</v>
      </c>
      <c r="B9" s="7">
        <v>2180</v>
      </c>
    </row>
  </sheetData>
  <mergeCells count="1">
    <mergeCell ref="A1:B1"/>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D15FC-56F3-4C07-9B4F-3548651E9853}">
  <dimension ref="A2:B15"/>
  <sheetViews>
    <sheetView workbookViewId="0">
      <selection activeCell="F3" sqref="F3"/>
    </sheetView>
  </sheetViews>
  <sheetFormatPr defaultRowHeight="15" x14ac:dyDescent="0.25"/>
  <cols>
    <col min="1" max="1" width="13.140625" bestFit="1" customWidth="1"/>
    <col min="2" max="2" width="16" bestFit="1" customWidth="1"/>
  </cols>
  <sheetData>
    <row r="2" spans="1:2" x14ac:dyDescent="0.25">
      <c r="A2" s="24" t="s">
        <v>77</v>
      </c>
      <c r="B2" s="24"/>
    </row>
    <row r="3" spans="1:2" x14ac:dyDescent="0.25">
      <c r="A3" s="6" t="s">
        <v>55</v>
      </c>
      <c r="B3" t="s">
        <v>76</v>
      </c>
    </row>
    <row r="4" spans="1:2" x14ac:dyDescent="0.25">
      <c r="A4" s="8" t="s">
        <v>39</v>
      </c>
      <c r="B4" s="7">
        <v>231</v>
      </c>
    </row>
    <row r="5" spans="1:2" x14ac:dyDescent="0.25">
      <c r="A5" s="8" t="s">
        <v>16</v>
      </c>
      <c r="B5" s="7">
        <v>252</v>
      </c>
    </row>
    <row r="6" spans="1:2" x14ac:dyDescent="0.25">
      <c r="A6" s="8" t="s">
        <v>51</v>
      </c>
      <c r="B6" s="7">
        <v>230</v>
      </c>
    </row>
    <row r="7" spans="1:2" x14ac:dyDescent="0.25">
      <c r="A7" s="8" t="s">
        <v>19</v>
      </c>
      <c r="B7" s="7">
        <v>140</v>
      </c>
    </row>
    <row r="8" spans="1:2" x14ac:dyDescent="0.25">
      <c r="A8" s="8" t="s">
        <v>13</v>
      </c>
      <c r="B8" s="7">
        <v>215</v>
      </c>
    </row>
    <row r="9" spans="1:2" x14ac:dyDescent="0.25">
      <c r="A9" s="8" t="s">
        <v>42</v>
      </c>
      <c r="B9" s="7">
        <v>25</v>
      </c>
    </row>
    <row r="10" spans="1:2" x14ac:dyDescent="0.25">
      <c r="A10" s="8" t="s">
        <v>27</v>
      </c>
      <c r="B10" s="7">
        <v>225</v>
      </c>
    </row>
    <row r="11" spans="1:2" x14ac:dyDescent="0.25">
      <c r="A11" s="8" t="s">
        <v>34</v>
      </c>
      <c r="B11" s="7">
        <v>280</v>
      </c>
    </row>
    <row r="12" spans="1:2" x14ac:dyDescent="0.25">
      <c r="A12" s="8" t="s">
        <v>10</v>
      </c>
      <c r="B12" s="7">
        <v>347</v>
      </c>
    </row>
    <row r="13" spans="1:2" x14ac:dyDescent="0.25">
      <c r="A13" s="8" t="s">
        <v>21</v>
      </c>
      <c r="B13" s="7">
        <v>215</v>
      </c>
    </row>
    <row r="14" spans="1:2" x14ac:dyDescent="0.25">
      <c r="A14" s="8" t="s">
        <v>44</v>
      </c>
      <c r="B14" s="7">
        <v>20</v>
      </c>
    </row>
    <row r="15" spans="1:2" x14ac:dyDescent="0.25">
      <c r="A15" s="8" t="s">
        <v>52</v>
      </c>
      <c r="B15" s="7">
        <v>2180</v>
      </c>
    </row>
  </sheetData>
  <mergeCells count="1">
    <mergeCell ref="A2:B2"/>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4DCD-E874-4E49-BD90-3C1680909221}">
  <dimension ref="A1:M46"/>
  <sheetViews>
    <sheetView tabSelected="1" topLeftCell="A2" workbookViewId="0">
      <selection sqref="A1:I46"/>
    </sheetView>
  </sheetViews>
  <sheetFormatPr defaultRowHeight="15" x14ac:dyDescent="0.25"/>
  <cols>
    <col min="1" max="1" width="16.28515625" bestFit="1" customWidth="1"/>
    <col min="2" max="2" width="17.140625" customWidth="1"/>
    <col min="3" max="3" width="19.42578125" customWidth="1"/>
    <col min="4" max="4" width="11.28515625" customWidth="1"/>
    <col min="5" max="5" width="18.42578125" customWidth="1"/>
    <col min="6" max="6" width="15.7109375" customWidth="1"/>
    <col min="7" max="7" width="29.85546875" customWidth="1"/>
    <col min="8" max="8" width="16.5703125" bestFit="1" customWidth="1"/>
    <col min="9" max="9" width="18.28515625" bestFit="1" customWidth="1"/>
    <col min="10" max="10" width="9.140625" customWidth="1"/>
  </cols>
  <sheetData>
    <row r="1" spans="1:13" ht="19.5" x14ac:dyDescent="0.4">
      <c r="A1" s="2" t="s">
        <v>0</v>
      </c>
      <c r="B1" s="2" t="s">
        <v>1</v>
      </c>
      <c r="C1" s="2" t="s">
        <v>2</v>
      </c>
      <c r="D1" s="2" t="s">
        <v>3</v>
      </c>
      <c r="E1" s="2" t="s">
        <v>4</v>
      </c>
      <c r="F1" s="2" t="s">
        <v>5</v>
      </c>
      <c r="G1" s="2" t="s">
        <v>6</v>
      </c>
      <c r="H1" s="2" t="s">
        <v>7</v>
      </c>
      <c r="I1" s="2" t="s">
        <v>75</v>
      </c>
      <c r="J1" s="4"/>
      <c r="K1" s="5"/>
      <c r="L1" s="5"/>
      <c r="M1" s="5"/>
    </row>
    <row r="2" spans="1:13" x14ac:dyDescent="0.25">
      <c r="A2" t="s">
        <v>8</v>
      </c>
      <c r="B2" t="s">
        <v>9</v>
      </c>
      <c r="C2" t="s">
        <v>10</v>
      </c>
      <c r="D2">
        <v>2</v>
      </c>
      <c r="E2" s="1">
        <v>44947</v>
      </c>
      <c r="F2" t="s">
        <v>14</v>
      </c>
      <c r="G2">
        <v>5</v>
      </c>
      <c r="H2">
        <v>4</v>
      </c>
      <c r="I2">
        <f>Table1[[#This Row],[Price of Dish Ordered]]*Table1[[#This Row],[Quantity]]</f>
        <v>20</v>
      </c>
    </row>
    <row r="3" spans="1:13" x14ac:dyDescent="0.25">
      <c r="A3" t="s">
        <v>11</v>
      </c>
      <c r="B3" t="s">
        <v>12</v>
      </c>
      <c r="C3" t="s">
        <v>13</v>
      </c>
      <c r="D3">
        <v>1</v>
      </c>
      <c r="E3" s="1">
        <v>44948</v>
      </c>
      <c r="F3" t="s">
        <v>14</v>
      </c>
      <c r="G3">
        <v>20</v>
      </c>
      <c r="H3">
        <v>3</v>
      </c>
      <c r="I3">
        <f>Table1[[#This Row],[Price of Dish Ordered]]*Table1[[#This Row],[Quantity]]</f>
        <v>60</v>
      </c>
    </row>
    <row r="4" spans="1:13" x14ac:dyDescent="0.25">
      <c r="A4" t="s">
        <v>51</v>
      </c>
      <c r="B4" t="s">
        <v>51</v>
      </c>
      <c r="C4" t="s">
        <v>51</v>
      </c>
      <c r="D4">
        <v>2</v>
      </c>
      <c r="E4" s="1">
        <v>44947</v>
      </c>
      <c r="F4" t="s">
        <v>14</v>
      </c>
      <c r="G4">
        <v>5</v>
      </c>
      <c r="H4">
        <v>1</v>
      </c>
      <c r="I4">
        <f>Table1[[#This Row],[Price of Dish Ordered]]*Table1[[#This Row],[Quantity]]</f>
        <v>5</v>
      </c>
    </row>
    <row r="5" spans="1:13" x14ac:dyDescent="0.25">
      <c r="A5" t="s">
        <v>15</v>
      </c>
      <c r="B5" t="s">
        <v>9</v>
      </c>
      <c r="C5" t="s">
        <v>16</v>
      </c>
      <c r="D5">
        <v>2</v>
      </c>
      <c r="E5" s="1">
        <v>44950</v>
      </c>
      <c r="F5" t="s">
        <v>14</v>
      </c>
      <c r="G5">
        <v>5</v>
      </c>
      <c r="H5">
        <v>1</v>
      </c>
      <c r="I5">
        <f>Table1[[#This Row],[Price of Dish Ordered]]*Table1[[#This Row],[Quantity]]</f>
        <v>5</v>
      </c>
    </row>
    <row r="6" spans="1:13" x14ac:dyDescent="0.25">
      <c r="A6" t="s">
        <v>17</v>
      </c>
      <c r="B6" t="s">
        <v>9</v>
      </c>
      <c r="C6" t="s">
        <v>51</v>
      </c>
      <c r="D6">
        <v>4</v>
      </c>
      <c r="E6" s="1">
        <v>44947</v>
      </c>
      <c r="F6" t="s">
        <v>14</v>
      </c>
      <c r="G6">
        <v>5</v>
      </c>
      <c r="H6">
        <v>1</v>
      </c>
      <c r="I6">
        <f>Table1[[#This Row],[Price of Dish Ordered]]*Table1[[#This Row],[Quantity]]</f>
        <v>5</v>
      </c>
    </row>
    <row r="7" spans="1:13" x14ac:dyDescent="0.25">
      <c r="A7" t="s">
        <v>18</v>
      </c>
      <c r="B7" t="s">
        <v>9</v>
      </c>
      <c r="C7" t="s">
        <v>19</v>
      </c>
      <c r="D7">
        <v>1</v>
      </c>
      <c r="E7" s="1">
        <v>44960</v>
      </c>
      <c r="F7" t="s">
        <v>14</v>
      </c>
      <c r="G7">
        <v>25</v>
      </c>
      <c r="H7">
        <v>5</v>
      </c>
      <c r="I7">
        <f>Table1[[#This Row],[Price of Dish Ordered]]*Table1[[#This Row],[Quantity]]</f>
        <v>125</v>
      </c>
    </row>
    <row r="8" spans="1:13" x14ac:dyDescent="0.25">
      <c r="A8" t="s">
        <v>20</v>
      </c>
      <c r="B8" t="s">
        <v>9</v>
      </c>
      <c r="C8" t="s">
        <v>21</v>
      </c>
      <c r="D8">
        <v>5</v>
      </c>
      <c r="E8" s="1">
        <v>44940</v>
      </c>
      <c r="F8" t="s">
        <v>14</v>
      </c>
      <c r="G8">
        <v>10</v>
      </c>
      <c r="H8">
        <v>4</v>
      </c>
      <c r="I8">
        <f>Table1[[#This Row],[Price of Dish Ordered]]*Table1[[#This Row],[Quantity]]</f>
        <v>40</v>
      </c>
    </row>
    <row r="9" spans="1:13" x14ac:dyDescent="0.25">
      <c r="A9" t="s">
        <v>22</v>
      </c>
      <c r="B9" t="s">
        <v>23</v>
      </c>
      <c r="C9" t="s">
        <v>10</v>
      </c>
      <c r="D9">
        <v>2</v>
      </c>
      <c r="E9" s="1">
        <v>44961</v>
      </c>
      <c r="F9" t="s">
        <v>14</v>
      </c>
      <c r="G9">
        <v>20</v>
      </c>
      <c r="H9">
        <v>5</v>
      </c>
      <c r="I9">
        <f>Table1[[#This Row],[Price of Dish Ordered]]*Table1[[#This Row],[Quantity]]</f>
        <v>100</v>
      </c>
    </row>
    <row r="10" spans="1:13" x14ac:dyDescent="0.25">
      <c r="A10" t="s">
        <v>24</v>
      </c>
      <c r="B10" t="s">
        <v>25</v>
      </c>
      <c r="C10" t="s">
        <v>13</v>
      </c>
      <c r="D10">
        <v>1</v>
      </c>
      <c r="E10" s="1">
        <v>44958</v>
      </c>
      <c r="F10" t="s">
        <v>14</v>
      </c>
      <c r="G10">
        <v>25</v>
      </c>
      <c r="H10">
        <v>4</v>
      </c>
      <c r="I10">
        <f>Table1[[#This Row],[Price of Dish Ordered]]*Table1[[#This Row],[Quantity]]</f>
        <v>100</v>
      </c>
    </row>
    <row r="11" spans="1:13" x14ac:dyDescent="0.25">
      <c r="A11" t="s">
        <v>51</v>
      </c>
      <c r="B11" t="s">
        <v>26</v>
      </c>
      <c r="C11" t="s">
        <v>27</v>
      </c>
      <c r="D11">
        <v>3</v>
      </c>
      <c r="E11" s="1">
        <v>44947</v>
      </c>
      <c r="F11" t="s">
        <v>14</v>
      </c>
      <c r="G11">
        <v>25</v>
      </c>
      <c r="H11">
        <v>5</v>
      </c>
      <c r="I11">
        <f>Table1[[#This Row],[Price of Dish Ordered]]*Table1[[#This Row],[Quantity]]</f>
        <v>125</v>
      </c>
    </row>
    <row r="12" spans="1:13" x14ac:dyDescent="0.25">
      <c r="A12" t="s">
        <v>28</v>
      </c>
      <c r="B12" t="s">
        <v>9</v>
      </c>
      <c r="C12" t="s">
        <v>21</v>
      </c>
      <c r="D12">
        <v>1</v>
      </c>
      <c r="E12" s="1">
        <v>44957</v>
      </c>
      <c r="F12" t="s">
        <v>14</v>
      </c>
      <c r="G12">
        <v>25</v>
      </c>
      <c r="H12">
        <v>5</v>
      </c>
      <c r="I12">
        <f>Table1[[#This Row],[Price of Dish Ordered]]*Table1[[#This Row],[Quantity]]</f>
        <v>125</v>
      </c>
    </row>
    <row r="13" spans="1:13" x14ac:dyDescent="0.25">
      <c r="A13" t="s">
        <v>22</v>
      </c>
      <c r="B13" t="s">
        <v>23</v>
      </c>
      <c r="C13" t="s">
        <v>10</v>
      </c>
      <c r="D13">
        <v>2</v>
      </c>
      <c r="E13" s="1">
        <v>44961</v>
      </c>
      <c r="F13" t="s">
        <v>14</v>
      </c>
      <c r="G13">
        <v>25</v>
      </c>
      <c r="H13">
        <v>3</v>
      </c>
      <c r="I13">
        <f>Table1[[#This Row],[Price of Dish Ordered]]*Table1[[#This Row],[Quantity]]</f>
        <v>75</v>
      </c>
    </row>
    <row r="14" spans="1:13" x14ac:dyDescent="0.25">
      <c r="A14" t="s">
        <v>29</v>
      </c>
      <c r="B14" t="s">
        <v>9</v>
      </c>
      <c r="C14" t="s">
        <v>10</v>
      </c>
      <c r="D14">
        <v>1</v>
      </c>
      <c r="E14" s="1">
        <v>44941</v>
      </c>
      <c r="F14" t="s">
        <v>14</v>
      </c>
      <c r="G14">
        <v>25</v>
      </c>
      <c r="H14">
        <v>5</v>
      </c>
      <c r="I14">
        <f>Table1[[#This Row],[Price of Dish Ordered]]*Table1[[#This Row],[Quantity]]</f>
        <v>125</v>
      </c>
    </row>
    <row r="15" spans="1:13" x14ac:dyDescent="0.25">
      <c r="A15" t="s">
        <v>30</v>
      </c>
      <c r="B15" t="s">
        <v>51</v>
      </c>
      <c r="C15" t="s">
        <v>16</v>
      </c>
      <c r="D15">
        <v>2</v>
      </c>
      <c r="E15" s="1">
        <v>44944</v>
      </c>
      <c r="F15" t="s">
        <v>14</v>
      </c>
      <c r="G15">
        <v>15</v>
      </c>
      <c r="H15">
        <v>2</v>
      </c>
      <c r="I15">
        <f>Table1[[#This Row],[Price of Dish Ordered]]*Table1[[#This Row],[Quantity]]</f>
        <v>30</v>
      </c>
    </row>
    <row r="16" spans="1:13" x14ac:dyDescent="0.25">
      <c r="A16" t="s">
        <v>31</v>
      </c>
      <c r="B16" t="s">
        <v>26</v>
      </c>
      <c r="C16" t="s">
        <v>27</v>
      </c>
      <c r="D16">
        <v>1</v>
      </c>
      <c r="E16" s="1">
        <v>44929</v>
      </c>
      <c r="F16" t="s">
        <v>14</v>
      </c>
      <c r="G16">
        <v>20</v>
      </c>
      <c r="H16">
        <v>3</v>
      </c>
      <c r="I16">
        <f>Table1[[#This Row],[Price of Dish Ordered]]*Table1[[#This Row],[Quantity]]</f>
        <v>60</v>
      </c>
    </row>
    <row r="17" spans="1:9" x14ac:dyDescent="0.25">
      <c r="A17" t="s">
        <v>32</v>
      </c>
      <c r="B17" t="s">
        <v>23</v>
      </c>
      <c r="C17" t="s">
        <v>16</v>
      </c>
      <c r="D17">
        <v>2</v>
      </c>
      <c r="E17" s="1">
        <v>44952</v>
      </c>
      <c r="F17" t="s">
        <v>14</v>
      </c>
      <c r="G17">
        <v>25</v>
      </c>
      <c r="H17">
        <v>5</v>
      </c>
      <c r="I17">
        <f>Table1[[#This Row],[Price of Dish Ordered]]*Table1[[#This Row],[Quantity]]</f>
        <v>125</v>
      </c>
    </row>
    <row r="18" spans="1:9" x14ac:dyDescent="0.25">
      <c r="A18" t="s">
        <v>51</v>
      </c>
      <c r="B18" t="s">
        <v>51</v>
      </c>
      <c r="C18" t="s">
        <v>51</v>
      </c>
      <c r="D18">
        <v>2</v>
      </c>
      <c r="E18" s="1">
        <v>44947</v>
      </c>
      <c r="F18" t="s">
        <v>14</v>
      </c>
      <c r="G18">
        <v>20</v>
      </c>
      <c r="H18">
        <v>1</v>
      </c>
      <c r="I18">
        <f>Table1[[#This Row],[Price of Dish Ordered]]*Table1[[#This Row],[Quantity]]</f>
        <v>20</v>
      </c>
    </row>
    <row r="19" spans="1:9" x14ac:dyDescent="0.25">
      <c r="A19" t="s">
        <v>33</v>
      </c>
      <c r="B19" t="s">
        <v>12</v>
      </c>
      <c r="C19" t="s">
        <v>51</v>
      </c>
      <c r="D19">
        <v>4</v>
      </c>
      <c r="E19" s="1">
        <v>44951</v>
      </c>
      <c r="F19" t="s">
        <v>14</v>
      </c>
      <c r="G19">
        <v>15</v>
      </c>
      <c r="H19">
        <v>2</v>
      </c>
      <c r="I19">
        <f>Table1[[#This Row],[Price of Dish Ordered]]*Table1[[#This Row],[Quantity]]</f>
        <v>30</v>
      </c>
    </row>
    <row r="20" spans="1:9" x14ac:dyDescent="0.25">
      <c r="A20" t="s">
        <v>51</v>
      </c>
      <c r="B20" t="s">
        <v>51</v>
      </c>
      <c r="C20" t="s">
        <v>51</v>
      </c>
      <c r="D20">
        <v>2</v>
      </c>
      <c r="E20" s="1">
        <v>44947</v>
      </c>
      <c r="F20" t="s">
        <v>14</v>
      </c>
      <c r="G20">
        <v>15</v>
      </c>
      <c r="H20">
        <v>2</v>
      </c>
      <c r="I20">
        <f>Table1[[#This Row],[Price of Dish Ordered]]*Table1[[#This Row],[Quantity]]</f>
        <v>30</v>
      </c>
    </row>
    <row r="21" spans="1:9" x14ac:dyDescent="0.25">
      <c r="A21" t="s">
        <v>51</v>
      </c>
      <c r="B21" t="s">
        <v>26</v>
      </c>
      <c r="C21" t="s">
        <v>27</v>
      </c>
      <c r="D21">
        <v>3</v>
      </c>
      <c r="E21" s="1">
        <v>44959</v>
      </c>
      <c r="F21" t="s">
        <v>14</v>
      </c>
      <c r="G21">
        <v>20</v>
      </c>
      <c r="H21">
        <v>2</v>
      </c>
      <c r="I21">
        <f>Table1[[#This Row],[Price of Dish Ordered]]*Table1[[#This Row],[Quantity]]</f>
        <v>40</v>
      </c>
    </row>
    <row r="22" spans="1:9" x14ac:dyDescent="0.25">
      <c r="A22" t="s">
        <v>18</v>
      </c>
      <c r="B22" t="s">
        <v>9</v>
      </c>
      <c r="C22" t="s">
        <v>34</v>
      </c>
      <c r="D22">
        <v>3</v>
      </c>
      <c r="E22" s="1">
        <v>44947</v>
      </c>
      <c r="F22" t="s">
        <v>14</v>
      </c>
      <c r="G22">
        <v>5</v>
      </c>
      <c r="H22">
        <v>3</v>
      </c>
      <c r="I22">
        <f>Table1[[#This Row],[Price of Dish Ordered]]*Table1[[#This Row],[Quantity]]</f>
        <v>15</v>
      </c>
    </row>
    <row r="23" spans="1:9" x14ac:dyDescent="0.25">
      <c r="A23" t="s">
        <v>35</v>
      </c>
      <c r="B23" t="s">
        <v>12</v>
      </c>
      <c r="C23" t="s">
        <v>16</v>
      </c>
      <c r="D23">
        <v>1</v>
      </c>
      <c r="E23" s="1">
        <v>44949</v>
      </c>
      <c r="F23" t="s">
        <v>14</v>
      </c>
      <c r="G23">
        <v>10</v>
      </c>
      <c r="H23">
        <v>5</v>
      </c>
      <c r="I23">
        <f>Table1[[#This Row],[Price of Dish Ordered]]*Table1[[#This Row],[Quantity]]</f>
        <v>50</v>
      </c>
    </row>
    <row r="24" spans="1:9" x14ac:dyDescent="0.25">
      <c r="A24" t="s">
        <v>36</v>
      </c>
      <c r="B24" t="s">
        <v>23</v>
      </c>
      <c r="C24" t="s">
        <v>34</v>
      </c>
      <c r="D24">
        <v>1</v>
      </c>
      <c r="E24" s="1">
        <v>44930</v>
      </c>
      <c r="F24" t="s">
        <v>14</v>
      </c>
      <c r="G24">
        <v>5</v>
      </c>
      <c r="H24">
        <v>3</v>
      </c>
      <c r="I24">
        <f>Table1[[#This Row],[Price of Dish Ordered]]*Table1[[#This Row],[Quantity]]</f>
        <v>15</v>
      </c>
    </row>
    <row r="25" spans="1:9" x14ac:dyDescent="0.25">
      <c r="A25" t="s">
        <v>37</v>
      </c>
      <c r="B25" t="s">
        <v>25</v>
      </c>
      <c r="C25" t="s">
        <v>10</v>
      </c>
      <c r="D25">
        <v>5</v>
      </c>
      <c r="E25" s="1">
        <v>44947</v>
      </c>
      <c r="F25" t="s">
        <v>14</v>
      </c>
      <c r="G25">
        <v>17</v>
      </c>
      <c r="H25">
        <v>1</v>
      </c>
      <c r="I25">
        <f>Table1[[#This Row],[Price of Dish Ordered]]*Table1[[#This Row],[Quantity]]</f>
        <v>17</v>
      </c>
    </row>
    <row r="26" spans="1:9" x14ac:dyDescent="0.25">
      <c r="A26" t="s">
        <v>38</v>
      </c>
      <c r="B26" t="s">
        <v>25</v>
      </c>
      <c r="C26" t="s">
        <v>34</v>
      </c>
      <c r="D26">
        <v>4</v>
      </c>
      <c r="E26" s="1">
        <v>44934</v>
      </c>
      <c r="F26" t="s">
        <v>14</v>
      </c>
      <c r="G26">
        <v>5</v>
      </c>
      <c r="H26">
        <v>1</v>
      </c>
      <c r="I26">
        <f>Table1[[#This Row],[Price of Dish Ordered]]*Table1[[#This Row],[Quantity]]</f>
        <v>5</v>
      </c>
    </row>
    <row r="27" spans="1:9" x14ac:dyDescent="0.25">
      <c r="A27" t="s">
        <v>51</v>
      </c>
      <c r="B27" t="s">
        <v>51</v>
      </c>
      <c r="C27" t="s">
        <v>51</v>
      </c>
      <c r="D27">
        <v>2</v>
      </c>
      <c r="E27" s="1">
        <v>44947</v>
      </c>
      <c r="F27" t="s">
        <v>14</v>
      </c>
      <c r="G27">
        <v>25</v>
      </c>
      <c r="H27">
        <v>3</v>
      </c>
      <c r="I27">
        <f>Table1[[#This Row],[Price of Dish Ordered]]*Table1[[#This Row],[Quantity]]</f>
        <v>75</v>
      </c>
    </row>
    <row r="28" spans="1:9" x14ac:dyDescent="0.25">
      <c r="A28" t="s">
        <v>15</v>
      </c>
      <c r="B28" t="s">
        <v>51</v>
      </c>
      <c r="C28" t="s">
        <v>19</v>
      </c>
      <c r="D28">
        <v>1</v>
      </c>
      <c r="E28" s="1">
        <v>44946</v>
      </c>
      <c r="F28" t="s">
        <v>14</v>
      </c>
      <c r="G28">
        <v>15</v>
      </c>
      <c r="H28">
        <v>1</v>
      </c>
      <c r="I28">
        <f>Table1[[#This Row],[Price of Dish Ordered]]*Table1[[#This Row],[Quantity]]</f>
        <v>15</v>
      </c>
    </row>
    <row r="29" spans="1:9" x14ac:dyDescent="0.25">
      <c r="A29" t="s">
        <v>11</v>
      </c>
      <c r="B29" t="s">
        <v>12</v>
      </c>
      <c r="C29" t="s">
        <v>13</v>
      </c>
      <c r="D29">
        <v>1</v>
      </c>
      <c r="E29" s="1">
        <v>44948</v>
      </c>
      <c r="F29" t="s">
        <v>14</v>
      </c>
      <c r="G29">
        <v>5</v>
      </c>
      <c r="H29">
        <v>3</v>
      </c>
      <c r="I29">
        <f>Table1[[#This Row],[Price of Dish Ordered]]*Table1[[#This Row],[Quantity]]</f>
        <v>15</v>
      </c>
    </row>
    <row r="30" spans="1:9" x14ac:dyDescent="0.25">
      <c r="A30" t="s">
        <v>29</v>
      </c>
      <c r="B30" t="s">
        <v>23</v>
      </c>
      <c r="C30" t="s">
        <v>34</v>
      </c>
      <c r="D30">
        <v>4</v>
      </c>
      <c r="E30" s="1">
        <v>44927</v>
      </c>
      <c r="F30" t="s">
        <v>14</v>
      </c>
      <c r="G30">
        <v>13</v>
      </c>
      <c r="H30">
        <v>5</v>
      </c>
      <c r="I30">
        <f>Table1[[#This Row],[Price of Dish Ordered]]*Table1[[#This Row],[Quantity]]</f>
        <v>65</v>
      </c>
    </row>
    <row r="31" spans="1:9" x14ac:dyDescent="0.25">
      <c r="A31" t="s">
        <v>51</v>
      </c>
      <c r="B31" t="s">
        <v>12</v>
      </c>
      <c r="C31" t="s">
        <v>39</v>
      </c>
      <c r="D31">
        <v>3</v>
      </c>
      <c r="E31" s="1">
        <v>44945</v>
      </c>
      <c r="F31" t="s">
        <v>14</v>
      </c>
      <c r="G31">
        <v>23</v>
      </c>
      <c r="H31">
        <v>2</v>
      </c>
      <c r="I31">
        <f>Table1[[#This Row],[Price of Dish Ordered]]*Table1[[#This Row],[Quantity]]</f>
        <v>46</v>
      </c>
    </row>
    <row r="32" spans="1:9" x14ac:dyDescent="0.25">
      <c r="A32" t="s">
        <v>40</v>
      </c>
      <c r="B32" t="s">
        <v>9</v>
      </c>
      <c r="C32" t="s">
        <v>10</v>
      </c>
      <c r="D32">
        <v>3</v>
      </c>
      <c r="E32" s="1">
        <v>44942</v>
      </c>
      <c r="F32" t="s">
        <v>14</v>
      </c>
      <c r="G32">
        <v>10</v>
      </c>
      <c r="H32">
        <v>1</v>
      </c>
      <c r="I32">
        <f>Table1[[#This Row],[Price of Dish Ordered]]*Table1[[#This Row],[Quantity]]</f>
        <v>10</v>
      </c>
    </row>
    <row r="33" spans="1:9" x14ac:dyDescent="0.25">
      <c r="A33" t="s">
        <v>38</v>
      </c>
      <c r="B33" t="s">
        <v>25</v>
      </c>
      <c r="C33" t="s">
        <v>34</v>
      </c>
      <c r="D33">
        <v>4</v>
      </c>
      <c r="E33" s="1">
        <v>44934</v>
      </c>
      <c r="F33" t="s">
        <v>14</v>
      </c>
      <c r="G33">
        <v>20</v>
      </c>
      <c r="H33">
        <v>3</v>
      </c>
      <c r="I33">
        <f>Table1[[#This Row],[Price of Dish Ordered]]*Table1[[#This Row],[Quantity]]</f>
        <v>60</v>
      </c>
    </row>
    <row r="34" spans="1:9" x14ac:dyDescent="0.25">
      <c r="A34" t="s">
        <v>51</v>
      </c>
      <c r="B34" t="s">
        <v>12</v>
      </c>
      <c r="C34" t="s">
        <v>39</v>
      </c>
      <c r="D34">
        <v>3</v>
      </c>
      <c r="E34" s="1">
        <v>44945</v>
      </c>
      <c r="F34" t="s">
        <v>14</v>
      </c>
      <c r="G34">
        <v>20</v>
      </c>
      <c r="H34">
        <v>3</v>
      </c>
      <c r="I34">
        <f>Table1[[#This Row],[Price of Dish Ordered]]*Table1[[#This Row],[Quantity]]</f>
        <v>60</v>
      </c>
    </row>
    <row r="35" spans="1:9" x14ac:dyDescent="0.25">
      <c r="A35" t="s">
        <v>41</v>
      </c>
      <c r="B35" t="s">
        <v>9</v>
      </c>
      <c r="C35" t="s">
        <v>42</v>
      </c>
      <c r="D35">
        <v>2</v>
      </c>
      <c r="E35" s="1">
        <v>44955</v>
      </c>
      <c r="F35" t="s">
        <v>14</v>
      </c>
      <c r="G35">
        <v>25</v>
      </c>
      <c r="H35">
        <v>1</v>
      </c>
      <c r="I35">
        <f>Table1[[#This Row],[Price of Dish Ordered]]*Table1[[#This Row],[Quantity]]</f>
        <v>25</v>
      </c>
    </row>
    <row r="36" spans="1:9" x14ac:dyDescent="0.25">
      <c r="A36" t="s">
        <v>43</v>
      </c>
      <c r="B36" t="s">
        <v>26</v>
      </c>
      <c r="C36" t="s">
        <v>51</v>
      </c>
      <c r="D36">
        <v>1</v>
      </c>
      <c r="E36" s="1">
        <v>44931</v>
      </c>
      <c r="F36" t="s">
        <v>14</v>
      </c>
      <c r="G36">
        <v>10</v>
      </c>
      <c r="H36">
        <v>3</v>
      </c>
      <c r="I36">
        <f>Table1[[#This Row],[Price of Dish Ordered]]*Table1[[#This Row],[Quantity]]</f>
        <v>30</v>
      </c>
    </row>
    <row r="37" spans="1:9" x14ac:dyDescent="0.25">
      <c r="A37" t="s">
        <v>43</v>
      </c>
      <c r="B37" t="s">
        <v>51</v>
      </c>
      <c r="C37" t="s">
        <v>44</v>
      </c>
      <c r="D37">
        <v>1</v>
      </c>
      <c r="E37" s="1">
        <v>44928</v>
      </c>
      <c r="F37" t="s">
        <v>14</v>
      </c>
      <c r="G37">
        <v>20</v>
      </c>
      <c r="H37">
        <v>1</v>
      </c>
      <c r="I37">
        <f>Table1[[#This Row],[Price of Dish Ordered]]*Table1[[#This Row],[Quantity]]</f>
        <v>20</v>
      </c>
    </row>
    <row r="38" spans="1:9" x14ac:dyDescent="0.25">
      <c r="A38" t="s">
        <v>45</v>
      </c>
      <c r="B38" t="s">
        <v>26</v>
      </c>
      <c r="C38" t="s">
        <v>34</v>
      </c>
      <c r="D38">
        <v>2</v>
      </c>
      <c r="E38" s="1">
        <v>44953</v>
      </c>
      <c r="F38" t="s">
        <v>14</v>
      </c>
      <c r="G38">
        <v>20</v>
      </c>
      <c r="H38">
        <v>2</v>
      </c>
      <c r="I38">
        <f>Table1[[#This Row],[Price of Dish Ordered]]*Table1[[#This Row],[Quantity]]</f>
        <v>40</v>
      </c>
    </row>
    <row r="39" spans="1:9" x14ac:dyDescent="0.25">
      <c r="A39" t="s">
        <v>51</v>
      </c>
      <c r="B39" t="s">
        <v>51</v>
      </c>
      <c r="C39" t="s">
        <v>51</v>
      </c>
      <c r="D39">
        <v>2</v>
      </c>
      <c r="E39" s="1">
        <v>44947</v>
      </c>
      <c r="F39" t="s">
        <v>14</v>
      </c>
      <c r="G39">
        <v>10</v>
      </c>
      <c r="H39">
        <v>1</v>
      </c>
      <c r="I39">
        <f>Table1[[#This Row],[Price of Dish Ordered]]*Table1[[#This Row],[Quantity]]</f>
        <v>10</v>
      </c>
    </row>
    <row r="40" spans="1:9" x14ac:dyDescent="0.25">
      <c r="A40" t="s">
        <v>51</v>
      </c>
      <c r="B40" t="s">
        <v>23</v>
      </c>
      <c r="C40" t="s">
        <v>16</v>
      </c>
      <c r="D40">
        <v>1</v>
      </c>
      <c r="E40" s="1">
        <v>44939</v>
      </c>
      <c r="F40" t="s">
        <v>14</v>
      </c>
      <c r="G40">
        <v>14</v>
      </c>
      <c r="H40">
        <v>3</v>
      </c>
      <c r="I40">
        <f>Table1[[#This Row],[Price of Dish Ordered]]*Table1[[#This Row],[Quantity]]</f>
        <v>42</v>
      </c>
    </row>
    <row r="41" spans="1:9" x14ac:dyDescent="0.25">
      <c r="A41" t="s">
        <v>46</v>
      </c>
      <c r="B41" t="s">
        <v>25</v>
      </c>
      <c r="C41" t="s">
        <v>13</v>
      </c>
      <c r="D41">
        <v>1</v>
      </c>
      <c r="E41" s="1">
        <v>44933</v>
      </c>
      <c r="F41" t="s">
        <v>14</v>
      </c>
      <c r="G41">
        <v>20</v>
      </c>
      <c r="H41">
        <v>1</v>
      </c>
      <c r="I41">
        <f>Table1[[#This Row],[Price of Dish Ordered]]*Table1[[#This Row],[Quantity]]</f>
        <v>20</v>
      </c>
    </row>
    <row r="42" spans="1:9" x14ac:dyDescent="0.25">
      <c r="A42" t="s">
        <v>20</v>
      </c>
      <c r="B42" t="s">
        <v>9</v>
      </c>
      <c r="C42" t="s">
        <v>21</v>
      </c>
      <c r="D42">
        <v>5</v>
      </c>
      <c r="E42" s="1">
        <v>44940</v>
      </c>
      <c r="F42" t="s">
        <v>14</v>
      </c>
      <c r="G42">
        <v>10</v>
      </c>
      <c r="H42">
        <v>5</v>
      </c>
      <c r="I42">
        <f>Table1[[#This Row],[Price of Dish Ordered]]*Table1[[#This Row],[Quantity]]</f>
        <v>50</v>
      </c>
    </row>
    <row r="43" spans="1:9" x14ac:dyDescent="0.25">
      <c r="A43" t="s">
        <v>47</v>
      </c>
      <c r="B43" t="s">
        <v>9</v>
      </c>
      <c r="C43" t="s">
        <v>34</v>
      </c>
      <c r="D43">
        <v>2</v>
      </c>
      <c r="E43" s="1">
        <v>44943</v>
      </c>
      <c r="F43" t="s">
        <v>14</v>
      </c>
      <c r="G43">
        <v>20</v>
      </c>
      <c r="H43">
        <v>4</v>
      </c>
      <c r="I43">
        <f>Table1[[#This Row],[Price of Dish Ordered]]*Table1[[#This Row],[Quantity]]</f>
        <v>80</v>
      </c>
    </row>
    <row r="44" spans="1:9" x14ac:dyDescent="0.25">
      <c r="A44" t="s">
        <v>48</v>
      </c>
      <c r="B44" t="s">
        <v>51</v>
      </c>
      <c r="C44" t="s">
        <v>13</v>
      </c>
      <c r="D44">
        <v>1</v>
      </c>
      <c r="E44" s="1">
        <v>44936</v>
      </c>
      <c r="F44" t="s">
        <v>14</v>
      </c>
      <c r="G44">
        <v>20</v>
      </c>
      <c r="H44">
        <v>1</v>
      </c>
      <c r="I44">
        <f>Table1[[#This Row],[Price of Dish Ordered]]*Table1[[#This Row],[Quantity]]</f>
        <v>20</v>
      </c>
    </row>
    <row r="45" spans="1:9" x14ac:dyDescent="0.25">
      <c r="A45" t="s">
        <v>49</v>
      </c>
      <c r="B45" t="s">
        <v>25</v>
      </c>
      <c r="C45" t="s">
        <v>39</v>
      </c>
      <c r="D45">
        <v>5</v>
      </c>
      <c r="E45" s="1">
        <v>44935</v>
      </c>
      <c r="F45" t="s">
        <v>14</v>
      </c>
      <c r="G45">
        <v>25</v>
      </c>
      <c r="H45">
        <v>5</v>
      </c>
      <c r="I45">
        <f>Table1[[#This Row],[Price of Dish Ordered]]*Table1[[#This Row],[Quantity]]</f>
        <v>125</v>
      </c>
    </row>
    <row r="46" spans="1:9" x14ac:dyDescent="0.25">
      <c r="A46" t="s">
        <v>50</v>
      </c>
      <c r="B46" t="s">
        <v>23</v>
      </c>
      <c r="C46" t="s">
        <v>51</v>
      </c>
      <c r="D46">
        <v>3</v>
      </c>
      <c r="E46" s="1">
        <v>44938</v>
      </c>
      <c r="F46" t="s">
        <v>14</v>
      </c>
      <c r="G46">
        <v>5</v>
      </c>
      <c r="H46">
        <v>5</v>
      </c>
      <c r="I46">
        <f>Table1[[#This Row],[Price of Dish Ordered]]*Table1[[#This Row],[Quantity]]</f>
        <v>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CLEANED CAPSTONE DATA</vt:lpstr>
      <vt:lpstr>INSIGHT 1</vt:lpstr>
      <vt:lpstr>INSIGHT 7</vt:lpstr>
      <vt:lpstr>EXCEL DASHBOARD</vt:lpstr>
      <vt:lpstr>INSIGHT 6</vt:lpstr>
      <vt:lpstr>INSIGHT 5</vt:lpstr>
      <vt:lpstr>INSIGHT 4</vt:lpstr>
      <vt:lpstr>INSIGHT 3</vt:lpstr>
      <vt:lpstr>INSIGHT 2</vt:lpstr>
      <vt:lpstr> ANALYSIS TASKS PT3</vt:lpstr>
      <vt:lpstr>Sheet3</vt:lpstr>
      <vt:lpstr>PIVOT TABLE</vt:lpstr>
      <vt:lpstr>CHART 6</vt:lpstr>
      <vt:lpstr>CHART 5</vt:lpstr>
      <vt:lpstr>CHART 4</vt:lpstr>
      <vt:lpstr>CHART 3</vt:lpstr>
      <vt:lpstr>CHART 2</vt:lpstr>
      <vt:lpstr>CHART 1</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Dorathy Eke</dc:creator>
  <cp:lastModifiedBy>Dorathy Eke</cp:lastModifiedBy>
  <dcterms:created xsi:type="dcterms:W3CDTF">2026-05-14T10:44:39Z</dcterms:created>
  <dcterms:modified xsi:type="dcterms:W3CDTF">2026-05-22T19:50:24Z</dcterms:modified>
</cp:coreProperties>
</file>